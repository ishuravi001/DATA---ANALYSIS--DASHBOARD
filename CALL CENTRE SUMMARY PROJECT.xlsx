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hidePivotFieldList="1"/>
  <mc:AlternateContent xmlns:mc="http://schemas.openxmlformats.org/markup-compatibility/2006">
    <mc:Choice Requires="x15">
      <x15ac:absPath xmlns:x15ac="http://schemas.microsoft.com/office/spreadsheetml/2010/11/ac" url="https://d.docs.live.net/875ac19b57f0c88c/Desktop/ACTE-DATA ANALYTICS/"/>
    </mc:Choice>
  </mc:AlternateContent>
  <xr:revisionPtr revIDLastSave="14" documentId="8_{D1C517D4-56D8-4F8C-801D-5F6938198C9B}" xr6:coauthVersionLast="47" xr6:coauthVersionMax="47" xr10:uidLastSave="{C4CA669B-EE48-43B1-8313-07391AB7108C}"/>
  <bookViews>
    <workbookView xWindow="-108" yWindow="-108" windowWidth="23256" windowHeight="12456" activeTab="2" xr2:uid="{26D4546B-D2A1-4444-8EAF-A6228F96F0C1}"/>
  </bookViews>
  <sheets>
    <sheet name="Pivots" sheetId="6" r:id="rId1"/>
    <sheet name="Data" sheetId="2" r:id="rId2"/>
    <sheet name="summary" sheetId="5" r:id="rId3"/>
    <sheet name="Assets" sheetId="4" r:id="rId4"/>
  </sheets>
  <definedNames>
    <definedName name="_xlnm._FilterDatabase" localSheetId="1" hidden="1">Data!$B$3:$H$1003</definedName>
    <definedName name="_xlcn.WorksheetConnection_07.sampledataexcelportfolioproject.xlsxcalls" hidden="1">calls[]</definedName>
    <definedName name="_xlcn.WorksheetConnection_07.sampledataexcelportfolioproject.xlsxcustomers" hidden="1">customers[]</definedName>
    <definedName name="Slicer_Representativ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3" i="5" l="1" a="1"/>
  <c r="T23" i="5" s="1"/>
  <c r="K28" i="6"/>
  <c r="K32" i="6" s="1"/>
  <c r="G31" i="6" a="1"/>
  <c r="G31"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34" i="6" l="1"/>
  <c r="K35" i="6"/>
  <c r="J33" i="6"/>
  <c r="K34" i="6"/>
  <c r="J31" i="6"/>
  <c r="J32" i="6"/>
  <c r="K33" i="6"/>
  <c r="J35" i="6"/>
  <c r="K3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4B8FDD-750F-46F1-AAA6-822BF982B73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7C59515-EF2A-4C94-8596-780C297DBF28}"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
        </x15:connection>
      </ext>
    </extLst>
  </connection>
  <connection id="3" xr16:uid="{A1BC19CF-DE51-41E4-BA55-FF984CBD9A4C}"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<sst xmlns="http://schemas.openxmlformats.org/spreadsheetml/2006/main" count="3168" uniqueCount="1078">
  <si>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</si>
  <si>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</si>
  <si>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</si>
  <si>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</si>
  <si>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</si>
  <si>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</si>
  <si>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</si>
  <si>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</si>
  <si>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</si>
  <si>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</si>
  <si>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</si>
  <si>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</si>
  <si>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</si>
  <si>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</si>
  <si>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</si>
  <si>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</si>
  <si>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</si>
  <si>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</si>
  <si>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</si>
  <si>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</si>
  <si>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</si>
  <si>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</si>
  <si>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</si>
  <si>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</si>
  <si>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</si>
  <si>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</si>
  <si>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</si>
  <si>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</si>
  <si>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</si>
  <si>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</si>
  <si>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</si>
  <si>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</si>
  <si>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</si>
  <si>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</si>
  <si>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</si>
  <si>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</si>
  <si>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</si>
  <si>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</si>
  <si>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</si>
  <si>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</si>
  <si>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</si>
  <si>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</si>
  <si>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</si>
  <si>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</si>
  <si>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</si>
  <si>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</si>
  <si>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</si>
  <si>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</si>
  <si>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</si>
  <si>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</si>
  <si>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</si>
  <si>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</si>
  <si>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</si>
  <si>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</si>
  <si>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</si>
  <si>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</si>
  <si>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</si>
  <si>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</si>
  <si>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</si>
  <si>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</si>
  <si>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</si>
  <si>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</si>
  <si>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</si>
  <si>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</si>
  <si>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</si>
  <si>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</si>
  <si>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</si>
  <si>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</si>
  <si>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</si>
  <si>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</si>
  <si>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</si>
  <si>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</si>
  <si>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</si>
  <si>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</si>
  <si>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</si>
  <si>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</si>
  <si>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</si>
  <si>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</si>
  <si>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</si>
  <si>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</si>
  <si>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</si>
  <si>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</si>
  <si>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</si>
  <si>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</si>
  <si>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</si>
  <si>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</si>
  <si>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</si>
  <si>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</si>
  <si>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</si>
  <si>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</si>
  <si>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</si>
  <si>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</si>
  <si>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</si>
  <si>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</si>
  <si>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</si>
  <si>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</si>
  <si>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</si>
  <si>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</si>
  <si>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</si>
  <si>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</si>
  <si>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</si>
  <si>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</si>
  <si>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</si>
  <si>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</si>
  <si>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</si>
  <si>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</si>
  <si>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</si>
  <si>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</si>
  <si>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</si>
  <si>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</si>
  <si>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</si>
  <si>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</si>
  <si>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</si>
  <si>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</si>
  <si>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</si>
  <si>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</si>
  <si>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</si>
  <si>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</si>
  <si>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</si>
  <si>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</si>
  <si>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</si>
  <si>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</si>
  <si>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</si>
  <si>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</si>
  <si>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</si>
  <si>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</si>
  <si>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</si>
  <si>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</si>
  <si>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</si>
  <si>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</si>
  <si>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</si>
  <si>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</si>
  <si>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</si>
  <si>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</si>
  <si>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</si>
  <si>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</si>
  <si>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</si>
  <si>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</si>
  <si>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</si>
  <si>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</si>
  <si>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</si>
  <si>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</si>
  <si>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</si>
  <si>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</si>
  <si>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</si>
  <si>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</si>
  <si>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</si>
  <si>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</si>
  <si>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</si>
  <si>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</si>
  <si>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</si>
  <si>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</si>
  <si>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</si>
  <si>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</si>
  <si>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</si>
  <si>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</si>
  <si>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</si>
  <si>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</si>
  <si>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</si>
  <si>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</si>
  <si>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</si>
  <si>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</si>
  <si>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</si>
  <si>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</si>
  <si>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</si>
  <si>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</si>
  <si>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</si>
  <si>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</si>
  <si>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</si>
  <si>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</si>
  <si>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</si>
  <si>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</si>
  <si>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</si>
  <si>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</si>
  <si>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</si>
  <si>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</si>
  <si>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</si>
  <si>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</si>
  <si>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</si>
  <si>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</si>
  <si>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</si>
  <si>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</si>
  <si>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</si>
  <si>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</si>
  <si>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</si>
  <si>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</si>
  <si>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</si>
  <si>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</si>
  <si>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</si>
  <si>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</si>
  <si>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</si>
  <si>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</si>
  <si>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</si>
  <si>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</si>
  <si>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</si>
  <si>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</si>
  <si>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</si>
  <si>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</si>
  <si>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</si>
  <si>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</si>
  <si>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</si>
  <si>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</si>
  <si>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</si>
  <si>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</si>
  <si>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</si>
  <si>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</si>
  <si>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</si>
  <si>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</si>
  <si>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</si>
  <si>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</si>
  <si>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</si>
  <si>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</si>
  <si>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</si>
  <si>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</si>
  <si>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</si>
  <si>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</si>
  <si>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</si>
  <si>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</si>
  <si>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</si>
  <si>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</si>
  <si>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</si>
  <si>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</si>
  <si>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</si>
  <si>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</si>
  <si>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</si>
  <si>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</si>
  <si>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</si>
  <si>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</si>
  <si>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</si>
  <si>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</si>
  <si>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</si>
  <si>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</si>
  <si>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</si>
  <si>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</si>
  <si>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</si>
  <si>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</si>
  <si>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</si>
  <si>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</si>
  <si>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</si>
  <si>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</si>
  <si>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</si>
  <si>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</si>
  <si>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</si>
  <si>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</si>
  <si>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</si>
  <si>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</si>
  <si>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</si>
  <si>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</si>
  <si>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</si>
  <si>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</si>
  <si>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</si>
  <si>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</si>
  <si>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</si>
  <si>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</si>
  <si>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</si>
  <si>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</si>
  <si>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</si>
  <si>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</si>
  <si>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</si>
  <si>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</si>
  <si>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</si>
  <si>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</si>
  <si>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</si>
  <si>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</si>
  <si>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</si>
  <si>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</si>
  <si>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</si>
  <si>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</si>
  <si>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</si>
  <si>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</si>
  <si>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</si>
  <si>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</si>
  <si>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</si>
  <si>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</si>
  <si>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</si>
  <si>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</si>
  <si>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</si>
  <si>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</si>
  <si>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</si>
  <si>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</si>
  <si>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</si>
  <si>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</si>
  <si>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</si>
  <si>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</si>
  <si>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</si>
  <si>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</si>
  <si>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</si>
  <si>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</si>
  <si>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</si>
  <si>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</si>
  <si>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</si>
  <si>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</si>
  <si>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</si>
  <si>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</si>
  <si>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</si>
  <si>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</si>
  <si>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</si>
  <si>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</si>
  <si>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</si>
  <si>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</si>
  <si>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</si>
  <si>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</si>
  <si>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</si>
  <si>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</si>
  <si>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</si>
  <si>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</si>
  <si>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</si>
  <si>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</si>
  <si>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</si>
  <si>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</si>
  <si>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</si>
  <si>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</si>
  <si>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</si>
  <si>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</si>
  <si>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</si>
  <si>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</si>
  <si>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</si>
  <si>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</si>
  <si>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</si>
  <si>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</si>
  <si>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</si>
  <si>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</si>
  <si>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</si>
  <si>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</si>
  <si>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</si>
  <si>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</si>
  <si>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</si>
  <si>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</si>
  <si>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</si>
  <si>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</si>
  <si>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</si>
  <si>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</si>
  <si>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</si>
  <si>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</si>
  <si>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</si>
  <si>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</si>
  <si>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</si>
  <si>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</si>
  <si>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</si>
  <si>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</si>
  <si>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</si>
  <si>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</si>
  <si>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</si>
  <si>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</si>
  <si>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</si>
  <si>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</si>
  <si>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</si>
  <si>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</si>
  <si>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</si>
  <si>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</si>
  <si>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</si>
  <si>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</si>
  <si>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</si>
  <si>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</si>
  <si>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</si>
  <si>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</si>
  <si>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</si>
  <si>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</si>
  <si>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</si>
  <si>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</si>
  <si>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</si>
  <si>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</si>
  <si>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</si>
  <si>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</si>
  <si>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</si>
  <si>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</si>
  <si>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</si>
  <si>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</si>
  <si>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</si>
  <si>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</si>
  <si>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</si>
  <si>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</si>
  <si>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</si>
  <si>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</si>
  <si>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</si>
  <si>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</si>
  <si>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</si>
  <si>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</si>
  <si>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</si>
  <si>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</si>
  <si>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</si>
  <si>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</si>
  <si>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</si>
  <si>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</si>
  <si>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</si>
  <si>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</si>
  <si>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</si>
  <si>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</si>
  <si>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</si>
  <si>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</si>
  <si>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</si>
  <si>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</si>
  <si>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</si>
  <si>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</si>
  <si>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</si>
  <si>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</si>
  <si>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</si>
  <si>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</si>
  <si>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</si>
  <si>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</si>
  <si>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</si>
  <si>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</si>
  <si>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</si>
  <si>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</si>
  <si>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</si>
  <si>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</si>
  <si>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</si>
  <si>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</si>
  <si>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</si>
  <si>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</si>
  <si>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</si>
  <si>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</si>
  <si>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</si>
  <si>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</si>
  <si>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</si>
  <si>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</si>
  <si>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</si>
  <si>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</si>
  <si>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</si>
  <si>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</si>
  <si>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</si>
  <si>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</si>
  <si>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</si>
  <si>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</si>
  <si>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</si>
  <si>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</si>
  <si>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</si>
  <si>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</si>
  <si>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</si>
  <si>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</si>
  <si>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</si>
  <si>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</si>
  <si>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</si>
  <si>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</si>
  <si>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</si>
  <si>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</si>
  <si>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</si>
  <si>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</si>
  <si>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</si>
  <si>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</si>
  <si>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</si>
  <si>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</si>
  <si>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</si>
  <si>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</si>
  <si>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</si>
  <si>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</si>
  <si>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</si>
  <si>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</si>
  <si>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</si>
  <si>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</si>
  <si>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</si>
  <si>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</si>
  <si>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</si>
  <si>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</si>
  <si>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</si>
  <si>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</si>
  <si>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</si>
  <si>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</si>
  <si>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</si>
  <si>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</si>
  <si>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</si>
  <si>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</si>
  <si>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</si>
  <si>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</si>
  <si>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</si>
  <si>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</si>
  <si>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</si>
  <si>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</si>
  <si>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</si>
  <si>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</si>
  <si>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</si>
  <si>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</si>
  <si>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</si>
  <si>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</si>
  <si>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</si>
  <si>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</si>
  <si>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</si>
  <si>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</si>
  <si>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</si>
  <si>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</si>
  <si>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</si>
  <si>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</si>
  <si>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</si>
  <si>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</si>
  <si>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</si>
  <si>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</si>
  <si>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</si>
  <si>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</si>
  <si>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</si>
  <si>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</si>
  <si>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</si>
  <si>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</si>
  <si>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</si>
  <si>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</si>
  <si>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</si>
  <si>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</si>
  <si>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</si>
  <si>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</si>
  <si>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</si>
  <si>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</si>
  <si>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</si>
  <si>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</si>
  <si>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</si>
  <si>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</si>
  <si>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</si>
  <si>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</si>
  <si>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</si>
  <si>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</si>
  <si>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</si>
  <si>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</si>
  <si>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</si>
  <si>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</si>
  <si>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</si>
  <si>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</si>
  <si>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</si>
  <si>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</si>
  <si>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</si>
  <si>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</si>
  <si>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</si>
  <si>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</si>
  <si>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</si>
  <si>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</si>
  <si>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</si>
  <si>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</si>
  <si>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</si>
  <si>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</si>
  <si>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</si>
  <si>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</si>
  <si>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</si>
  <si>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</si>
  <si>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</si>
  <si>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</si>
  <si>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</si>
  <si>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</si>
  <si>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</si>
  <si>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</si>
  <si>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</si>
  <si>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</si>
  <si>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</si>
  <si>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</si>
  <si>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</si>
  <si>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</si>
  <si>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</si>
  <si>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</si>
  <si>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</si>
  <si>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</si>
  <si>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</si>
  <si>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</si>
  <si>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</si>
  <si>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</si>
  <si>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</si>
  <si>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</si>
  <si>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</si>
  <si>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</si>
  <si>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</si>
  <si>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</si>
  <si>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</si>
  <si>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</si>
  <si>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</si>
  <si>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</si>
  <si>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</si>
  <si>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</si>
  <si>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</si>
  <si>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</si>
  <si>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</si>
  <si>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</si>
  <si>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</si>
  <si>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</si>
  <si>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</si>
  <si>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</si>
  <si>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</si>
  <si>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</si>
  <si>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</si>
  <si>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</si>
  <si>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</si>
  <si>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</si>
  <si>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</si>
  <si>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</si>
  <si>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</si>
  <si>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</si>
  <si>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</si>
  <si>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</si>
  <si>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</si>
  <si>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</si>
  <si>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</si>
  <si>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</si>
  <si>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</si>
  <si>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</si>
  <si>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</si>
  <si>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</si>
  <si>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</si>
  <si>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</si>
  <si>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</si>
  <si>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</si>
  <si>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</si>
  <si>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</si>
  <si>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</si>
  <si>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</si>
  <si>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</si>
  <si>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</si>
  <si>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</si>
  <si>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</si>
  <si>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</si>
  <si>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</si>
  <si>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</si>
  <si>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</si>
  <si>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</si>
  <si>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</si>
  <si>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</si>
  <si>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</si>
  <si>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</si>
  <si>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</si>
  <si>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</si>
  <si>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</si>
  <si>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</si>
  <si>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</si>
  <si>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</si>
  <si>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</si>
  <si>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</si>
  <si>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</si>
  <si>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</si>
  <si>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</si>
  <si>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</si>
  <si>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</si>
  <si>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</si>
  <si>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</si>
  <si>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</si>
  <si>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</si>
  <si>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</si>
  <si>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</si>
  <si>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</si>
  <si>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</si>
  <si>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</si>
  <si>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</si>
  <si>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</si>
  <si>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</si>
  <si>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</si>
  <si>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</si>
  <si>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</si>
  <si>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</si>
  <si>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</si>
  <si>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</si>
  <si>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</si>
  <si>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</si>
  <si>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</si>
  <si>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</si>
  <si>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</si>
  <si>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</si>
  <si>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</si>
  <si>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</si>
  <si>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</si>
  <si>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</si>
  <si>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</si>
  <si>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</si>
  <si>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</si>
  <si>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</si>
  <si>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</si>
  <si>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</si>
  <si>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</si>
  <si>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</si>
  <si>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</si>
  <si>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</si>
  <si>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</si>
  <si>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</si>
  <si>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</si>
  <si>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</si>
  <si>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</si>
  <si>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</si>
  <si>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</si>
  <si>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</si>
  <si>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</si>
  <si>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</si>
  <si>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</si>
  <si>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</si>
  <si>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</si>
  <si>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</si>
  <si>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</si>
  <si>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</si>
  <si>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</si>
  <si>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</si>
  <si>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</si>
  <si>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</si>
  <si>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</si>
  <si>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</si>
  <si>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</si>
  <si>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</si>
  <si>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</si>
  <si>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</si>
  <si>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</si>
  <si>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</si>
  <si>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</si>
  <si>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</si>
  <si>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</si>
  <si>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</si>
  <si>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</si>
  <si>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</si>
  <si>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</si>
  <si>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</si>
  <si>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</si>
  <si>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</si>
  <si>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</si>
  <si>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</si>
  <si>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</si>
  <si>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</si>
  <si>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</si>
  <si>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</si>
  <si>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</si>
  <si>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</si>
  <si>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</si>
  <si>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</si>
  <si>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</si>
  <si>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</si>
  <si>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</si>
  <si>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</si>
  <si>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</si>
  <si>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</si>
  <si>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</si>
  <si>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</si>
  <si>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</si>
  <si>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</si>
  <si>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</si>
  <si>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</si>
  <si>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</si>
  <si>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</si>
  <si>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</si>
  <si>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</si>
  <si>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</si>
  <si>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</si>
  <si>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</si>
  <si>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</si>
  <si>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</si>
  <si>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</si>
  <si>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</si>
  <si>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</si>
  <si>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</si>
  <si>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</si>
  <si>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</si>
  <si>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</si>
  <si>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</si>
  <si>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</si>
  <si>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</si>
  <si>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</si>
  <si>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</si>
  <si>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</si>
  <si>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</si>
  <si>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</si>
  <si>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</si>
  <si>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</si>
  <si>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</si>
  <si>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</si>
  <si>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</si>
  <si>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</si>
  <si>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</si>
  <si>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</si>
  <si>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</si>
  <si>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</si>
  <si>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</si>
  <si>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</si>
  <si>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</si>
  <si>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</si>
  <si>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</si>
  <si>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</si>
  <si>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</si>
  <si>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</si>
  <si>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</si>
  <si>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</si>
  <si>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</si>
  <si>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</si>
  <si>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</si>
  <si>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</si>
  <si>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</si>
  <si>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</si>
  <si>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</si>
  <si>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</si>
  <si>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</si>
  <si>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</si>
  <si>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</si>
  <si>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</si>
  <si>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</si>
  <si>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</si>
  <si>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</si>
  <si>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</si>
  <si>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</si>
  <si>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</si>
  <si>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</si>
  <si>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</si>
  <si>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</si>
  <si>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</si>
  <si>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</si>
  <si>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</si>
  <si>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</si>
  <si>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</si>
  <si>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</si>
  <si>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</si>
  <si>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</si>
  <si>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</si>
  <si>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</si>
  <si>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</si>
  <si>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</si>
  <si>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</si>
  <si>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</si>
  <si>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</si>
  <si>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</si>
  <si>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</si>
  <si>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</si>
  <si>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</si>
  <si>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</si>
  <si>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</si>
  <si>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</si>
  <si>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</si>
  <si>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</si>
  <si>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</si>
  <si>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</si>
  <si>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</si>
  <si>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</si>
  <si>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</si>
  <si>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</si>
  <si>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</si>
  <si>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</si>
  <si>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</si>
  <si>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</si>
  <si>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</si>
  <si>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</si>
  <si>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</si>
  <si>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</si>
  <si>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</si>
  <si>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</si>
  <si>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</si>
  <si>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</si>
  <si>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</si>
  <si>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</si>
  <si>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</si>
  <si>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</si>
  <si>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</si>
  <si>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</si>
  <si>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</si>
  <si>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</si>
  <si>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</si>
  <si>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</si>
  <si>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</si>
  <si>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</si>
  <si>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</si>
  <si>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</si>
  <si>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</si>
  <si>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</si>
  <si>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</si>
  <si>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</si>
  <si>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</si>
  <si>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</si>
  <si>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</si>
  <si>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</si>
  <si>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</si>
  <si>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</si>
  <si>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</si>
  <si>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</si>
  <si>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</si>
  <si>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</si>
  <si>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</si>
  <si>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</si>
  <si>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</si>
  <si>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</si>
  <si>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</si>
  <si>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</si>
  <si>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</si>
  <si>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</si>
  <si>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</si>
  <si>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</si>
  <si>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</si>
  <si>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</si>
  <si>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</si>
  <si>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</si>
  <si>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</si>
  <si>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</si>
  <si>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</si>
  <si>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</si>
  <si>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</si>
  <si>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</si>
  <si>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</si>
  <si>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</si>
  <si>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</si>
  <si>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</si>
  <si>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</si>
  <si>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</si>
  <si>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</si>
  <si>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</si>
  <si>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</si>
  <si>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</si>
  <si>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</si>
  <si>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</si>
  <si>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</si>
  <si>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</si>
  <si>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</si>
  <si>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</si>
  <si>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</si>
  <si>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</si>
  <si>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</si>
  <si>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</si>
  <si>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</si>
  <si>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</si>
  <si>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</si>
  <si>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</si>
  <si>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</si>
  <si>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</si>
  <si>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</si>
  <si>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</si>
  <si>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</si>
  <si>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</si>
  <si>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</si>
  <si>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</si>
  <si>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</si>
  <si>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</si>
  <si>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</si>
  <si>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</si>
  <si>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</si>
  <si>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</si>
  <si>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</si>
  <si>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</si>
  <si>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</si>
  <si>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</si>
  <si>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</si>
  <si>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</si>
  <si>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</si>
  <si>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</si>
  <si>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</si>
  <si>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</si>
  <si>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</si>
  <si>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</si>
  <si>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</si>
  <si>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</si>
  <si>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</si>
  <si>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</si>
  <si>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</si>
  <si>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</si>
  <si>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</si>
  <si>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</si>
  <si>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</si>
  <si>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</si>
  <si>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</si>
  <si>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</si>
  <si>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</si>
  <si>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</si>
  <si>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</si>
  <si>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</si>
  <si>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</si>
  <si>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</si>
  <si>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</si>
  <si>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</si>
  <si>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</si>
  <si>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</si>
  <si>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</si>
  <si>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</si>
  <si>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</si>
  <si>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</si>
  <si>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</si>
  <si>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</si>
  <si>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</si>
  <si>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</si>
  <si>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</si>
  <si>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</si>
  <si>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</si>
  <si>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</si>
  <si>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</si>
  <si>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</si>
  <si>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</si>
  <si>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</si>
  <si>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</si>
  <si>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</si>
  <si>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</si>
  <si>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</si>
  <si>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</si>
  <si>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</si>
  <si>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</si>
  <si>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</si>
  <si>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</si>
  <si>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</si>
  <si>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</si>
  <si>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</si>
  <si>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</si>
  <si>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</si>
  <si>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</si>
  <si>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</si>
  <si>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</si>
  <si>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</si>
  <si>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</si>
  <si>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</si>
  <si>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</si>
  <si>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</si>
  <si>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</si>
  <si>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</si>
  <si>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</si>
  <si>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</si>
  <si>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</si>
  <si>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</si>
  <si>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</si>
  <si>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</si>
  <si>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</si>
  <si>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</si>
  <si>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</si>
  <si>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</si>
  <si>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</si>
  <si>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</si>
  <si>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</si>
  <si>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</si>
  <si>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</si>
  <si>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</si>
  <si>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</si>
  <si>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</si>
  <si>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</si>
  <si>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</si>
  <si>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</si>
  <si>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</si>
  <si>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</si>
  <si>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</si>
  <si>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</si>
  <si>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</si>
  <si>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</si>
  <si>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</si>
  <si>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</si>
  <si>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</si>
  <si>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</si>
  <si>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</si>
  <si>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</si>
  <si>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</si>
  <si>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</si>
  <si>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</si>
  <si>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</si>
  <si>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</si>
  <si>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</si>
  <si>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</si>
  <si>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</si>
  <si>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</si>
  <si>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</si>
  <si>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</si>
  <si>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</si>
  <si>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</si>
  <si>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</si>
  <si>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</si>
  <si>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</si>
  <si>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</si>
  <si>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</si>
  <si>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</si>
  <si>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</si>
  <si>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</si>
  <si>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</si>
  <si>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AVERAGE RATING</t>
  </si>
  <si>
    <t>Happy Customer</t>
  </si>
  <si>
    <t>TOTAL DURATION</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</si>
  <si>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</si>
  <si>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</si>
  <si>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</si>
  <si>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</si>
  <si>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</si>
  <si>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</si>
  <si>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</si>
  <si>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</si>
  <si>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</si>
  <si>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</si>
  <si>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</si>
  <si>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</si>
  <si>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</si>
  <si>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</si>
  <si>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</si>
  <si>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</si>
  <si>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</si>
  <si>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</si>
  <si>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</si>
  <si>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</si>
  <si>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</si>
  <si>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</si>
  <si>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</si>
  <si>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</si>
  <si>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</si>
  <si>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</si>
  <si>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Selected rep</t>
  </si>
  <si>
    <t>sel calls</t>
  </si>
  <si>
    <t>sel amount</t>
  </si>
  <si>
    <t>Column Labels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</si>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</sst>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409]d\-mmm\-yy;@"/>
    <numFmt numFmtId="165" formatCode="\$#,##0;\(\$#,##0\);\$#,##0"/>
    <numFmt numFmtId="166" formatCode="0.0"/>
    <numFmt numFmtId="167" formatCode="&quot;$&quot;#.#,\k"/>
  </numFmts>
  <fonts count="6"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11"/>
      <color theme="1"/>
      <name val="Aptos ExtraBold"/>
      <family val="2"/>
      <scheme val="major"/>
    </font>
  </fonts>
  <fills count="7">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theme="0"/>
        <bgColor theme="4" tint="0.79998168889431442"/>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hair">
        <color indexed="64"/>
      </left>
      <right/>
      <top style="hair">
        <color indexed="64"/>
      </top>
      <bottom/>
      <diagonal/>
    </border>
    <border>
      <left/>
      <right/>
      <top style="hair">
        <color indexed="64"/>
      </top>
      <bottom style="thin">
        <color theme="4" tint="0.39997558519241921"/>
      </bottom>
      <diagonal/>
    </border>
    <border>
      <left/>
      <right style="hair">
        <color indexed="64"/>
      </right>
      <top style="hair">
        <color indexed="64"/>
      </top>
      <bottom style="thin">
        <color theme="4" tint="0.39997558519241921"/>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2">
    <xf numFmtId="0" fontId="0" fillId="0" borderId="0"/>
    <xf numFmtId="44" fontId="4" fillId="0" borderId="0" applyFont="0" applyFill="0" applyBorder="0" applyAlignment="0" applyProtection="0"/>
  </cellStyleXfs>
  <cellXfs count="43">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0" borderId="0" xfId="0" applyAlignment="1">
      <alignment horizontal="center"/>
    </xf>
    <xf numFmtId="0" fontId="0" fillId="3" borderId="0" xfId="0" applyFill="1"/>
    <xf numFmtId="3" fontId="0" fillId="0" borderId="0" xfId="0" applyNumberFormat="1"/>
    <xf numFmtId="165" fontId="0" fillId="0" borderId="0" xfId="0" applyNumberFormat="1"/>
    <xf numFmtId="166" fontId="0" fillId="0" borderId="0" xfId="0" applyNumberFormat="1"/>
    <xf numFmtId="3" fontId="0" fillId="3" borderId="0" xfId="0" applyNumberFormat="1" applyFill="1"/>
    <xf numFmtId="0" fontId="0" fillId="0" borderId="0" xfId="0" pivotButton="1"/>
    <xf numFmtId="0" fontId="0" fillId="0" borderId="0" xfId="0" applyAlignment="1">
      <alignment horizontal="left"/>
    </xf>
    <xf numFmtId="0" fontId="0" fillId="4" borderId="0" xfId="0" applyFill="1" applyAlignment="1">
      <alignment horizontal="left"/>
    </xf>
    <xf numFmtId="167" fontId="0" fillId="0" borderId="0" xfId="0" applyNumberFormat="1"/>
    <xf numFmtId="0" fontId="0" fillId="0" borderId="0" xfId="0" applyAlignment="1">
      <alignment horizontal="left" indent="1"/>
    </xf>
    <xf numFmtId="0" fontId="0" fillId="5" borderId="0" xfId="0" applyFill="1"/>
    <xf numFmtId="167" fontId="0" fillId="5" borderId="0" xfId="1" applyNumberFormat="1" applyFont="1" applyFill="1" applyBorder="1"/>
    <xf numFmtId="0" fontId="0" fillId="5" borderId="10" xfId="0" applyFill="1" applyBorder="1"/>
    <xf numFmtId="0" fontId="1" fillId="6" borderId="11" xfId="0" applyFont="1" applyFill="1" applyBorder="1"/>
    <xf numFmtId="0" fontId="1" fillId="6" borderId="12" xfId="0" applyFont="1" applyFill="1" applyBorder="1"/>
    <xf numFmtId="0" fontId="5" fillId="5" borderId="13" xfId="0" applyFont="1" applyFill="1" applyBorder="1"/>
    <xf numFmtId="0" fontId="0" fillId="5" borderId="14" xfId="0" applyFill="1" applyBorder="1"/>
    <xf numFmtId="0" fontId="0" fillId="5" borderId="13" xfId="0" applyFill="1" applyBorder="1" applyAlignment="1">
      <alignment horizontal="left" indent="1"/>
    </xf>
    <xf numFmtId="167" fontId="0" fillId="5" borderId="14" xfId="1" applyNumberFormat="1" applyFont="1" applyFill="1" applyBorder="1"/>
    <xf numFmtId="0" fontId="0" fillId="5" borderId="15" xfId="0" applyFill="1" applyBorder="1" applyAlignment="1">
      <alignment horizontal="left" indent="1"/>
    </xf>
    <xf numFmtId="167" fontId="0" fillId="5" borderId="16" xfId="1" applyNumberFormat="1" applyFont="1" applyFill="1" applyBorder="1"/>
    <xf numFmtId="167" fontId="0" fillId="5" borderId="17" xfId="1" applyNumberFormat="1" applyFont="1" applyFill="1" applyBorder="1"/>
  </cellXfs>
  <cellStyles count="2">
    <cellStyle name="Currency" xfId="1" builtinId="4"/>
    <cellStyle name="Normal" xfId="0" builtinId="0"/>
  </cellStyles>
  <dxfs count="17">
    <dxf>
      <fill>
        <patternFill>
          <bgColor theme="8" tint="0.39994506668294322"/>
        </patternFill>
      </fill>
      <border>
        <right style="dashed">
          <color auto="1"/>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rgb="FFFFFF00"/>
        </patternFill>
      </fill>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1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22/10/relationships/richValueRel" Target="richData/richValueRel.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[excel-portfolio-project(AutoRecovered).xlsx]Pivots!day trend</c:name>
    <c:fmtId val="25"/>
  </c:pivotSource>
  <c:chart>
    <c:autoTitleDeleted val="1"/>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Pivots!$H$18</c:f>
              <c:strCache>
                <c:ptCount val="1"/>
                <c:pt idx="0">
                  <c:v>Total</c:v>
                </c:pt>
              </c:strCache>
            </c:strRef>
          </c:tx>
          <c:spPr>
            <a:solidFill>
              <a:schemeClr val="accent5">
                <a:lumMod val="60000"/>
                <a:lumOff val="40000"/>
              </a:schemeClr>
            </a:solidFill>
            <a:ln>
              <a:noFill/>
            </a:ln>
            <a:effectLst/>
          </c:spPr>
          <c:invertIfNegative val="0"/>
          <c:cat>
            <c:strRef>
              <c:f>Pivots!$G$19:$G$26</c:f>
              <c:strCache>
                <c:ptCount val="7"/>
                <c:pt idx="0">
                  <c:v>Sunday</c:v>
                </c:pt>
                <c:pt idx="1">
                  <c:v>Monday</c:v>
                </c:pt>
                <c:pt idx="2">
                  <c:v>Tuesday</c:v>
                </c:pt>
                <c:pt idx="3">
                  <c:v>Wednesday</c:v>
                </c:pt>
                <c:pt idx="4">
                  <c:v>Thursday</c:v>
                </c:pt>
                <c:pt idx="5">
                  <c:v>Friday</c:v>
                </c:pt>
                <c:pt idx="6">
                  <c:v>Saturday</c:v>
                </c:pt>
              </c:strCache>
            </c:strRef>
          </c:cat>
          <c:val>
            <c:numRef>
              <c:f>Pivots!$H$19:$H$26</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32A9-4CA0-AC95-78B915B3D2BE}"/>
            </c:ext>
          </c:extLst>
        </c:ser>
        <c:dLbls>
          <c:showLegendKey val="0"/>
          <c:showVal val="0"/>
          <c:showCatName val="0"/>
          <c:showSerName val="0"/>
          <c:showPercent val="0"/>
          <c:showBubbleSize val="0"/>
        </c:dLbls>
        <c:gapWidth val="25"/>
        <c:axId val="1628264527"/>
        <c:axId val="1628266447"/>
      </c:barChart>
      <c:catAx>
        <c:axId val="1628264527"/>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266447"/>
        <c:crosses val="autoZero"/>
        <c:auto val="1"/>
        <c:lblAlgn val="ctr"/>
        <c:lblOffset val="100"/>
        <c:noMultiLvlLbl val="0"/>
      </c:catAx>
      <c:valAx>
        <c:axId val="1628266447"/>
        <c:scaling>
          <c:orientation val="minMax"/>
        </c:scaling>
        <c:delete val="1"/>
        <c:axPos val="t"/>
        <c:numFmt formatCode="#,##0" sourceLinked="1"/>
        <c:majorTickMark val="out"/>
        <c:minorTickMark val="none"/>
        <c:tickLblPos val="nextTo"/>
        <c:crossAx val="162826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[excel-portfolio-project(AutoRecovered).xlsx]Pivots!monthly trend</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FF0000"/>
                </a:solidFill>
                <a:latin typeface="+mj-lt"/>
              </a:rPr>
              <a:t>Call</a:t>
            </a:r>
            <a:r>
              <a:rPr lang="en-US" sz="1600" baseline="0">
                <a:solidFill>
                  <a:srgbClr val="FF0000"/>
                </a:solidFill>
                <a:latin typeface="+mj-lt"/>
              </a:rPr>
              <a:t> Trend</a:t>
            </a:r>
            <a:endParaRPr lang="en-US" sz="1600">
              <a:solidFill>
                <a:srgbClr val="FF0000"/>
              </a:solidFill>
              <a:latin typeface="+mj-lt"/>
            </a:endParaRPr>
          </a:p>
        </c:rich>
      </c:tx>
      <c:layout>
        <c:manualLayout>
          <c:xMode val="edge"/>
          <c:yMode val="edge"/>
          <c:x val="6.4336634249870669E-2"/>
          <c:y val="2.95358568014837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gradFill flip="none" rotWithShape="1">
              <a:gsLst>
                <a:gs pos="27300">
                  <a:srgbClr val="CD763F"/>
                </a:gs>
                <a:gs pos="0">
                  <a:schemeClr val="accent5">
                    <a:lumMod val="75000"/>
                  </a:schemeClr>
                </a:gs>
                <a:gs pos="100000">
                  <a:schemeClr val="accent1">
                    <a:lumMod val="45000"/>
                    <a:lumOff val="55000"/>
                  </a:schemeClr>
                </a:gs>
                <a:gs pos="100000">
                  <a:schemeClr val="accent5">
                    <a:lumMod val="40000"/>
                    <a:lumOff val="60000"/>
                    <a:alpha val="50000"/>
                  </a:schemeClr>
                </a:gs>
              </a:gsLst>
              <a:lin ang="54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gradFill flip="none" rotWithShape="1">
              <a:gsLst>
                <a:gs pos="27300">
                  <a:srgbClr val="CD763F"/>
                </a:gs>
                <a:gs pos="0">
                  <a:schemeClr val="accent5">
                    <a:lumMod val="75000"/>
                  </a:schemeClr>
                </a:gs>
                <a:gs pos="100000">
                  <a:schemeClr val="accent1">
                    <a:lumMod val="45000"/>
                    <a:lumOff val="55000"/>
                  </a:schemeClr>
                </a:gs>
                <a:gs pos="100000">
                  <a:schemeClr val="accent5">
                    <a:lumMod val="40000"/>
                    <a:lumOff val="60000"/>
                    <a:alpha val="50000"/>
                  </a:schemeClr>
                </a:gs>
              </a:gsLst>
              <a:lin ang="54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5">
                  <a:lumMod val="75000"/>
                </a:schemeClr>
              </a:gs>
              <a:gs pos="100000">
                <a:schemeClr val="accent5">
                  <a:lumMod val="40000"/>
                  <a:lumOff val="60000"/>
                  <a:alpha val="5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cap="rnd">
            <a:solidFill>
              <a:schemeClr val="accent5">
                <a:lumMod val="75000"/>
              </a:schemeClr>
            </a:solidFill>
            <a:round/>
          </a:ln>
          <a:effectLst/>
        </c:spPr>
        <c:marker>
          <c:symbol val="circle"/>
          <c:size val="5"/>
          <c:spPr>
            <a:solidFill>
              <a:schemeClr val="tx1">
                <a:lumMod val="85000"/>
                <a:lumOff val="15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5">
                  <a:lumMod val="75000"/>
                </a:schemeClr>
              </a:gs>
              <a:gs pos="100000">
                <a:schemeClr val="accent5">
                  <a:lumMod val="40000"/>
                  <a:lumOff val="60000"/>
                  <a:alpha val="5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cap="rnd">
            <a:solidFill>
              <a:schemeClr val="accent5">
                <a:lumMod val="75000"/>
              </a:schemeClr>
            </a:solidFill>
            <a:round/>
          </a:ln>
          <a:effectLst/>
        </c:spPr>
        <c:marker>
          <c:symbol val="circle"/>
          <c:size val="5"/>
          <c:spPr>
            <a:solidFill>
              <a:schemeClr val="tx1">
                <a:lumMod val="85000"/>
                <a:lumOff val="15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5">
                  <a:lumMod val="75000"/>
                </a:schemeClr>
              </a:gs>
              <a:gs pos="100000">
                <a:schemeClr val="accent5">
                  <a:lumMod val="40000"/>
                  <a:lumOff val="60000"/>
                  <a:alpha val="5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5400" cap="rnd">
            <a:solidFill>
              <a:schemeClr val="accent5">
                <a:lumMod val="75000"/>
              </a:schemeClr>
            </a:solidFill>
            <a:round/>
          </a:ln>
          <a:effectLst/>
        </c:spPr>
        <c:marker>
          <c:symbol val="circle"/>
          <c:size val="5"/>
          <c:spPr>
            <a:solidFill>
              <a:schemeClr val="tx1">
                <a:lumMod val="85000"/>
                <a:lumOff val="15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Pivots!$C$18</c:f>
              <c:strCache>
                <c:ptCount val="1"/>
                <c:pt idx="0">
                  <c:v>Call count2</c:v>
                </c:pt>
              </c:strCache>
            </c:strRef>
          </c:tx>
          <c:spPr>
            <a:gradFill flip="none" rotWithShape="1">
              <a:gsLst>
                <a:gs pos="0">
                  <a:schemeClr val="accent5">
                    <a:lumMod val="75000"/>
                  </a:schemeClr>
                </a:gs>
                <a:gs pos="100000">
                  <a:schemeClr val="accent5">
                    <a:lumMod val="40000"/>
                    <a:lumOff val="60000"/>
                    <a:alpha val="5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cat>
            <c:strRef>
              <c:f>Pivots!$A$19:$A$31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Pivots!$C$19:$C$31</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0F4B-45E3-94C5-1F1268479148}"/>
            </c:ext>
          </c:extLst>
        </c:ser>
        <c:dLbls>
          <c:showLegendKey val="0"/>
          <c:showVal val="0"/>
          <c:showCatName val="0"/>
          <c:showSerName val="0"/>
          <c:showPercent val="0"/>
          <c:showBubbleSize val="0"/>
        </c:dLbls>
        <c:axId val="1951282528"/>
        <c:axId val="1951284448"/>
      </c:areaChart>
      <c:lineChart>
        <c:grouping val="standard"/>
        <c:varyColors val="0"/>
        <c:ser>
          <c:idx val="0"/>
          <c:order val="0"/>
          <c:tx>
            <c:strRef>
              <c:f>Pivots!$B$18</c:f>
              <c:strCache>
                <c:ptCount val="1"/>
                <c:pt idx="0">
                  <c:v>Call count</c:v>
                </c:pt>
              </c:strCache>
            </c:strRef>
          </c:tx>
          <c:spPr>
            <a:ln w="25400" cap="rnd">
              <a:solidFill>
                <a:schemeClr val="accent5">
                  <a:lumMod val="75000"/>
                </a:schemeClr>
              </a:solidFill>
              <a:round/>
            </a:ln>
            <a:effectLst/>
          </c:spPr>
          <c:marker>
            <c:symbol val="circle"/>
            <c:size val="5"/>
            <c:spPr>
              <a:solidFill>
                <a:schemeClr val="tx1">
                  <a:lumMod val="85000"/>
                  <a:lumOff val="15000"/>
                </a:schemeClr>
              </a:solidFill>
              <a:ln w="9525">
                <a:solidFill>
                  <a:schemeClr val="bg1"/>
                </a:solidFill>
              </a:ln>
              <a:effectLst/>
            </c:spPr>
          </c:marker>
          <c:cat>
            <c:strRef>
              <c:f>Pivots!$A$19:$A$31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Pivots!$B$19:$B$31</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0F4B-45E3-94C5-1F1268479148}"/>
            </c:ext>
          </c:extLst>
        </c:ser>
        <c:dLbls>
          <c:showLegendKey val="0"/>
          <c:showVal val="0"/>
          <c:showCatName val="0"/>
          <c:showSerName val="0"/>
          <c:showPercent val="0"/>
          <c:showBubbleSize val="0"/>
        </c:dLbls>
        <c:marker val="1"/>
        <c:smooth val="0"/>
        <c:axId val="1951282528"/>
        <c:axId val="1951284448"/>
      </c:lineChart>
      <c:catAx>
        <c:axId val="195128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284448"/>
        <c:crosses val="autoZero"/>
        <c:auto val="1"/>
        <c:lblAlgn val="ctr"/>
        <c:lblOffset val="100"/>
        <c:noMultiLvlLbl val="0"/>
      </c:catAx>
      <c:valAx>
        <c:axId val="19512844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28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rgbClr val="FF0000"/>
                </a:solidFill>
                <a:latin typeface="+mj-lt"/>
              </a:rPr>
              <a:t>Calls</a:t>
            </a:r>
          </a:p>
        </c:rich>
      </c:tx>
      <c:layout>
        <c:manualLayout>
          <c:xMode val="edge"/>
          <c:yMode val="edge"/>
          <c:x val="5.4136465764427551E-2"/>
          <c:y val="2.3148139709777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Pivots!$G$31:$G$35</c:f>
              <c:strCache>
                <c:ptCount val="5"/>
                <c:pt idx="0">
                  <c:v>R01</c:v>
                </c:pt>
                <c:pt idx="1">
                  <c:v>R02</c:v>
                </c:pt>
                <c:pt idx="2">
                  <c:v>R03</c:v>
                </c:pt>
                <c:pt idx="3">
                  <c:v>R04</c:v>
                </c:pt>
                <c:pt idx="4">
                  <c:v>R05</c:v>
                </c:pt>
              </c:strCache>
            </c:strRef>
          </c:cat>
          <c:val>
            <c:numRef>
              <c:f>Pivots!$H$31:$H$35</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7E52-4BBA-9BD1-DAA1A85B5067}"/>
            </c:ext>
          </c:extLst>
        </c:ser>
        <c:ser>
          <c:idx val="1"/>
          <c:order val="1"/>
          <c:tx>
            <c:strRef>
              <c:f>Pivots!$J$30</c:f>
              <c:strCache>
                <c:ptCount val="1"/>
                <c:pt idx="0">
                  <c:v>sel calls</c:v>
                </c:pt>
              </c:strCache>
            </c:strRef>
          </c:tx>
          <c:spPr>
            <a:gradFill flip="none" rotWithShape="1">
              <a:gsLst>
                <a:gs pos="0">
                  <a:schemeClr val="accent6">
                    <a:lumMod val="60000"/>
                    <a:lumOff val="40000"/>
                  </a:schemeClr>
                </a:gs>
                <a:gs pos="100000">
                  <a:schemeClr val="accent6">
                    <a:lumMod val="50000"/>
                  </a:schemeClr>
                </a:gs>
              </a:gsLst>
              <a:lin ang="5400000" scaled="1"/>
              <a:tileRect/>
            </a:gradFill>
            <a:ln>
              <a:noFill/>
            </a:ln>
            <a:effectLst/>
          </c:spPr>
          <c:invertIfNegative val="0"/>
          <c:val>
            <c:numRef>
              <c:f>Pivots!$J$31:$J$35</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7E52-4BBA-9BD1-DAA1A85B5067}"/>
            </c:ext>
          </c:extLst>
        </c:ser>
        <c:dLbls>
          <c:showLegendKey val="0"/>
          <c:showVal val="0"/>
          <c:showCatName val="0"/>
          <c:showSerName val="0"/>
          <c:showPercent val="0"/>
          <c:showBubbleSize val="0"/>
        </c:dLbls>
        <c:gapWidth val="25"/>
        <c:overlap val="100"/>
        <c:axId val="2000736879"/>
        <c:axId val="2000739759"/>
      </c:barChart>
      <c:catAx>
        <c:axId val="200073687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739759"/>
        <c:crosses val="autoZero"/>
        <c:auto val="1"/>
        <c:lblAlgn val="ctr"/>
        <c:lblOffset val="100"/>
        <c:noMultiLvlLbl val="0"/>
      </c:catAx>
      <c:valAx>
        <c:axId val="2000739759"/>
        <c:scaling>
          <c:orientation val="minMax"/>
        </c:scaling>
        <c:delete val="1"/>
        <c:axPos val="t"/>
        <c:numFmt formatCode="General" sourceLinked="1"/>
        <c:majorTickMark val="none"/>
        <c:minorTickMark val="none"/>
        <c:tickLblPos val="nextTo"/>
        <c:crossAx val="200073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FF0000"/>
                </a:solidFill>
                <a:latin typeface="+mj-lt"/>
              </a:rPr>
              <a:t>Amount</a:t>
            </a:r>
          </a:p>
        </c:rich>
      </c:tx>
      <c:layout>
        <c:manualLayout>
          <c:xMode val="edge"/>
          <c:yMode val="edge"/>
          <c:x val="7.5792963032453448E-2"/>
          <c:y val="2.7343738786196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Pivots!$G$31:$G$35</c:f>
              <c:strCache>
                <c:ptCount val="5"/>
                <c:pt idx="0">
                  <c:v>R01</c:v>
                </c:pt>
                <c:pt idx="1">
                  <c:v>R02</c:v>
                </c:pt>
                <c:pt idx="2">
                  <c:v>R03</c:v>
                </c:pt>
                <c:pt idx="3">
                  <c:v>R04</c:v>
                </c:pt>
                <c:pt idx="4">
                  <c:v>R05</c:v>
                </c:pt>
              </c:strCache>
            </c:strRef>
          </c:cat>
          <c:val>
            <c:numRef>
              <c:f>Pivots!$I$31:$I$35</c:f>
              <c:numCache>
                <c:formatCode>"$"#.#,\k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B5F1-456E-9223-548D66BF04B7}"/>
            </c:ext>
          </c:extLst>
        </c:ser>
        <c:ser>
          <c:idx val="1"/>
          <c:order val="1"/>
          <c:tx>
            <c:strRef>
              <c:f>Pivots!$K$30</c:f>
              <c:strCache>
                <c:ptCount val="1"/>
                <c:pt idx="0">
                  <c:v>sel amount</c:v>
                </c:pt>
              </c:strCache>
            </c:strRef>
          </c:tx>
          <c:spPr>
            <a:gradFill>
              <a:gsLst>
                <a:gs pos="0">
                  <a:schemeClr val="accent6">
                    <a:lumMod val="60000"/>
                    <a:lumOff val="40000"/>
                  </a:schemeClr>
                </a:gs>
                <a:gs pos="100000">
                  <a:schemeClr val="accent6">
                    <a:lumMod val="50000"/>
                  </a:schemeClr>
                </a:gs>
              </a:gsLst>
              <a:lin ang="5400000" scaled="1"/>
            </a:gradFill>
            <a:ln>
              <a:noFill/>
            </a:ln>
            <a:effectLst/>
          </c:spPr>
          <c:invertIfNegative val="0"/>
          <c:val>
            <c:numRef>
              <c:f>Pivots!$K$31:$K$35</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B5F1-456E-9223-548D66BF04B7}"/>
            </c:ext>
          </c:extLst>
        </c:ser>
        <c:dLbls>
          <c:showLegendKey val="0"/>
          <c:showVal val="0"/>
          <c:showCatName val="0"/>
          <c:showSerName val="0"/>
          <c:showPercent val="0"/>
          <c:showBubbleSize val="0"/>
        </c:dLbls>
        <c:gapWidth val="25"/>
        <c:overlap val="100"/>
        <c:axId val="1628274127"/>
        <c:axId val="1628261647"/>
      </c:barChart>
      <c:catAx>
        <c:axId val="1628274127"/>
        <c:scaling>
          <c:orientation val="maxMin"/>
        </c:scaling>
        <c:delete val="1"/>
        <c:axPos val="l"/>
        <c:numFmt formatCode="General" sourceLinked="1"/>
        <c:majorTickMark val="none"/>
        <c:minorTickMark val="none"/>
        <c:tickLblPos val="nextTo"/>
        <c:crossAx val="1628261647"/>
        <c:crosses val="autoZero"/>
        <c:auto val="1"/>
        <c:lblAlgn val="ctr"/>
        <c:lblOffset val="100"/>
        <c:noMultiLvlLbl val="0"/>
      </c:catAx>
      <c:valAx>
        <c:axId val="1628261647"/>
        <c:scaling>
          <c:orientation val="minMax"/>
        </c:scaling>
        <c:delete val="1"/>
        <c:axPos val="t"/>
        <c:numFmt formatCode="&quot;$&quot;#.#,\k" sourceLinked="1"/>
        <c:majorTickMark val="none"/>
        <c:minorTickMark val="none"/>
        <c:tickLblPos val="nextTo"/>
        <c:crossAx val="1628274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[excel-portfolio-project(AutoRecovered).xlsx]Pivots!PivotTable1</c:name>
    <c:fmtId val="3"/>
  </c:pivotSource>
  <c:chart>
    <c:title>
      <c:tx>
        <c:rich>
          <a:bodyPr rot="0" spcFirstLastPara="1" vertOverflow="ellipsis" vert="horz" wrap="square" anchor="ctr" anchorCtr="1"/>
          <a:lstStyle/>
          <a:p>
            <a:pPr algn="ctr" rtl="0">
              <a:defRPr lang="en-US" sz="1600" b="0" i="0" u="none" strike="noStrike" kern="1200" spc="0" baseline="0">
                <a:solidFill>
                  <a:srgbClr val="FF0000"/>
                </a:solidFill>
                <a:latin typeface="+mj-lt"/>
                <a:ea typeface="+mn-ea"/>
                <a:cs typeface="+mn-cs"/>
              </a:defRPr>
            </a:pPr>
            <a:r>
              <a:rPr lang="en-US" sz="1600" b="0" i="0" u="none" strike="noStrike" kern="1200" spc="0" baseline="0">
                <a:solidFill>
                  <a:schemeClr val="accent1">
                    <a:lumMod val="60000"/>
                    <a:lumOff val="40000"/>
                  </a:schemeClr>
                </a:solidFill>
                <a:latin typeface="+mj-lt"/>
                <a:ea typeface="+mn-ea"/>
                <a:cs typeface="+mn-cs"/>
              </a:rPr>
              <a:t>Male</a:t>
            </a:r>
            <a:r>
              <a:rPr lang="en-US" sz="1600" b="0" i="0" u="none" strike="noStrike" kern="1200" spc="0" baseline="0">
                <a:solidFill>
                  <a:srgbClr val="FF0000"/>
                </a:solidFill>
                <a:latin typeface="+mj-lt"/>
                <a:ea typeface="+mn-ea"/>
                <a:cs typeface="+mn-cs"/>
              </a:rPr>
              <a:t> </a:t>
            </a:r>
            <a:r>
              <a:rPr lang="en-US" sz="1600" b="0" i="0" u="none" strike="noStrike" kern="1200" spc="0" baseline="0">
                <a:solidFill>
                  <a:schemeClr val="tx1">
                    <a:lumMod val="65000"/>
                    <a:lumOff val="35000"/>
                  </a:schemeClr>
                </a:solidFill>
                <a:latin typeface="+mj-lt"/>
                <a:ea typeface="+mn-ea"/>
                <a:cs typeface="+mn-cs"/>
              </a:rPr>
              <a:t>Vs</a:t>
            </a:r>
            <a:r>
              <a:rPr lang="en-US" sz="1600" b="0" i="0" u="none" strike="noStrike" kern="1200" spc="0" baseline="0">
                <a:solidFill>
                  <a:srgbClr val="FF0000"/>
                </a:solidFill>
                <a:latin typeface="+mj-lt"/>
                <a:ea typeface="+mn-ea"/>
                <a:cs typeface="+mn-cs"/>
              </a:rPr>
              <a:t> </a:t>
            </a:r>
            <a:r>
              <a:rPr lang="en-US" sz="1600" b="0" i="0" u="none" strike="noStrike" kern="1200" spc="0" baseline="0">
                <a:solidFill>
                  <a:srgbClr val="92D050"/>
                </a:solidFill>
                <a:latin typeface="+mj-lt"/>
                <a:ea typeface="+mn-ea"/>
                <a:cs typeface="+mn-cs"/>
              </a:rPr>
              <a:t>Female</a:t>
            </a:r>
            <a:r>
              <a:rPr lang="en-US" sz="1600" b="0" i="0" u="none" strike="noStrike" kern="1200" spc="0" baseline="0">
                <a:solidFill>
                  <a:srgbClr val="FF0000"/>
                </a:solidFill>
                <a:latin typeface="+mj-lt"/>
                <a:ea typeface="+mn-ea"/>
                <a:cs typeface="+mn-cs"/>
              </a:rPr>
              <a:t> </a:t>
            </a:r>
            <a:r>
              <a:rPr lang="en-US" sz="1600" b="0" i="0" u="none" strike="noStrike" kern="1200" spc="0" baseline="0">
                <a:solidFill>
                  <a:schemeClr val="tx1">
                    <a:lumMod val="65000"/>
                    <a:lumOff val="35000"/>
                  </a:schemeClr>
                </a:solidFill>
                <a:latin typeface="+mj-lt"/>
                <a:ea typeface="+mn-ea"/>
                <a:cs typeface="+mn-cs"/>
              </a:rPr>
              <a:t>callers</a:t>
            </a:r>
          </a:p>
        </c:rich>
      </c:tx>
      <c:overlay val="0"/>
      <c:spPr>
        <a:noFill/>
        <a:ln>
          <a:noFill/>
        </a:ln>
        <a:effectLst/>
      </c:spPr>
      <c:txPr>
        <a:bodyPr rot="0" spcFirstLastPara="1" vertOverflow="ellipsis" vert="horz" wrap="square" anchor="ctr" anchorCtr="1"/>
        <a:lstStyle/>
        <a:p>
          <a:pPr algn="ctr" rtl="0">
            <a:defRPr lang="en-US" sz="1600" b="0" i="0" u="none" strike="noStrike" kern="1200" spc="0" baseline="0">
              <a:solidFill>
                <a:srgbClr val="FF0000"/>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solidFill>
              <a:schemeClr val="lt1">
                <a:alpha val="50000"/>
              </a:schemeClr>
            </a:soli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40000"/>
              <a:lumOff val="60000"/>
            </a:schemeClr>
          </a:solidFill>
          <a:ln>
            <a:noFill/>
          </a:ln>
          <a:effectLst/>
        </c:spPr>
        <c:marker>
          <c:symbol val="none"/>
        </c:marker>
        <c:dLbl>
          <c:idx val="0"/>
          <c:spPr>
            <a:solidFill>
              <a:schemeClr val="lt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pivotFmt>
      <c:pivotFmt>
        <c:idx val="7"/>
        <c:spPr>
          <a:solidFill>
            <a:srgbClr val="92D050"/>
          </a:solidFill>
          <a:ln>
            <a:noFill/>
          </a:ln>
          <a:effectLst/>
        </c:spPr>
      </c:pivotFmt>
      <c:pivotFmt>
        <c:idx val="8"/>
        <c:spPr>
          <a:solidFill>
            <a:srgbClr val="92D050"/>
          </a:solidFill>
          <a:ln>
            <a:noFill/>
          </a:ln>
          <a:effectLst/>
        </c:spPr>
      </c:pivotFmt>
    </c:pivotFmts>
    <c:plotArea>
      <c:layout/>
      <c:barChart>
        <c:barDir val="col"/>
        <c:grouping val="stacked"/>
        <c:varyColors val="0"/>
        <c:ser>
          <c:idx val="0"/>
          <c:order val="0"/>
          <c:tx>
            <c:strRef>
              <c:f>Pivots!$B$48:$B$49</c:f>
              <c:strCache>
                <c:ptCount val="1"/>
                <c:pt idx="0">
                  <c:v>Female</c:v>
                </c:pt>
              </c:strCache>
            </c:strRef>
          </c:tx>
          <c:spPr>
            <a:solidFill>
              <a:schemeClr val="accent5">
                <a:lumMod val="75000"/>
              </a:schemeClr>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2-4F05-4540-84F7-1FA42A8C309D}"/>
              </c:ext>
            </c:extLst>
          </c:dPt>
          <c:dPt>
            <c:idx val="1"/>
            <c:invertIfNegative val="0"/>
            <c:bubble3D val="0"/>
            <c:spPr>
              <a:solidFill>
                <a:srgbClr val="92D050"/>
              </a:solidFill>
              <a:ln>
                <a:noFill/>
              </a:ln>
              <a:effectLst/>
            </c:spPr>
            <c:extLst>
              <c:ext xmlns:c16="http://schemas.microsoft.com/office/drawing/2014/chart" uri="{C3380CC4-5D6E-409C-BE32-E72D297353CC}">
                <c16:uniqueId val="{00000003-4F05-4540-84F7-1FA42A8C309D}"/>
              </c:ext>
            </c:extLst>
          </c:dPt>
          <c:dPt>
            <c:idx val="2"/>
            <c:invertIfNegative val="0"/>
            <c:bubble3D val="0"/>
            <c:spPr>
              <a:solidFill>
                <a:srgbClr val="92D050"/>
              </a:solidFill>
              <a:ln>
                <a:noFill/>
              </a:ln>
              <a:effectLst/>
            </c:spPr>
            <c:extLst>
              <c:ext xmlns:c16="http://schemas.microsoft.com/office/drawing/2014/chart" uri="{C3380CC4-5D6E-409C-BE32-E72D297353CC}">
                <c16:uniqueId val="{00000004-4F05-4540-84F7-1FA42A8C309D}"/>
              </c:ext>
            </c:extLst>
          </c:dPt>
          <c:dLbls>
            <c:spPr>
              <a:solidFill>
                <a:schemeClr val="lt1">
                  <a:alpha val="50000"/>
                </a:schemeClr>
              </a:soli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Pivots!$A$50:$A$53</c:f>
              <c:strCache>
                <c:ptCount val="3"/>
                <c:pt idx="0">
                  <c:v>Cincinnati</c:v>
                </c:pt>
                <c:pt idx="1">
                  <c:v>Cleveland</c:v>
                </c:pt>
                <c:pt idx="2">
                  <c:v>Columbus</c:v>
                </c:pt>
              </c:strCache>
            </c:strRef>
          </c:cat>
          <c:val>
            <c:numRef>
              <c:f>Pivots!$B$50:$B$53</c:f>
              <c:numCache>
                <c:formatCode>#,##0</c:formatCode>
                <c:ptCount val="3"/>
                <c:pt idx="0">
                  <c:v>144</c:v>
                </c:pt>
                <c:pt idx="1">
                  <c:v>326</c:v>
                </c:pt>
                <c:pt idx="2">
                  <c:v>129</c:v>
                </c:pt>
              </c:numCache>
            </c:numRef>
          </c:val>
          <c:extLst>
            <c:ext xmlns:c16="http://schemas.microsoft.com/office/drawing/2014/chart" uri="{C3380CC4-5D6E-409C-BE32-E72D297353CC}">
              <c16:uniqueId val="{00000000-4F05-4540-84F7-1FA42A8C309D}"/>
            </c:ext>
          </c:extLst>
        </c:ser>
        <c:ser>
          <c:idx val="1"/>
          <c:order val="1"/>
          <c:tx>
            <c:strRef>
              <c:f>Pivots!$C$48:$C$49</c:f>
              <c:strCache>
                <c:ptCount val="1"/>
                <c:pt idx="0">
                  <c:v>Male</c:v>
                </c:pt>
              </c:strCache>
            </c:strRef>
          </c:tx>
          <c:spPr>
            <a:solidFill>
              <a:schemeClr val="tx2">
                <a:lumMod val="40000"/>
                <a:lumOff val="60000"/>
              </a:schemeClr>
            </a:solidFill>
            <a:ln>
              <a:noFill/>
            </a:ln>
            <a:effectLst/>
          </c:spPr>
          <c:invertIfNegative val="0"/>
          <c:dLbls>
            <c:spPr>
              <a:solidFill>
                <a:schemeClr val="lt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Pivots!$A$50:$A$53</c:f>
              <c:strCache>
                <c:ptCount val="3"/>
                <c:pt idx="0">
                  <c:v>Cincinnati</c:v>
                </c:pt>
                <c:pt idx="1">
                  <c:v>Cleveland</c:v>
                </c:pt>
                <c:pt idx="2">
                  <c:v>Columbus</c:v>
                </c:pt>
              </c:strCache>
            </c:strRef>
          </c:cat>
          <c:val>
            <c:numRef>
              <c:f>Pivots!$C$50:$C$53</c:f>
              <c:numCache>
                <c:formatCode>#,##0</c:formatCode>
                <c:ptCount val="3"/>
                <c:pt idx="0">
                  <c:v>132</c:v>
                </c:pt>
                <c:pt idx="1">
                  <c:v>63</c:v>
                </c:pt>
                <c:pt idx="2">
                  <c:v>206</c:v>
                </c:pt>
              </c:numCache>
            </c:numRef>
          </c:val>
          <c:extLst>
            <c:ext xmlns:c16="http://schemas.microsoft.com/office/drawing/2014/chart" uri="{C3380CC4-5D6E-409C-BE32-E72D297353CC}">
              <c16:uniqueId val="{00000001-4F05-4540-84F7-1FA42A8C309D}"/>
            </c:ext>
          </c:extLst>
        </c:ser>
        <c:dLbls>
          <c:showLegendKey val="0"/>
          <c:showVal val="0"/>
          <c:showCatName val="0"/>
          <c:showSerName val="0"/>
          <c:showPercent val="0"/>
          <c:showBubbleSize val="0"/>
        </c:dLbls>
        <c:gapWidth val="25"/>
        <c:overlap val="100"/>
        <c:axId val="643075296"/>
        <c:axId val="643069056"/>
      </c:barChart>
      <c:catAx>
        <c:axId val="64307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069056"/>
        <c:crosses val="autoZero"/>
        <c:auto val="1"/>
        <c:lblAlgn val="ctr"/>
        <c:lblOffset val="100"/>
        <c:noMultiLvlLbl val="0"/>
      </c:catAx>
      <c:valAx>
        <c:axId val="643069056"/>
        <c:scaling>
          <c:orientation val="minMax"/>
        </c:scaling>
        <c:delete val="1"/>
        <c:axPos val="l"/>
        <c:numFmt formatCode="#,##0" sourceLinked="1"/>
        <c:majorTickMark val="none"/>
        <c:minorTickMark val="none"/>
        <c:tickLblPos val="nextTo"/>
        <c:crossAx val="64307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[excel-portfolio-project(AutoRecovered).xlsx]Pivots!Rep Rating</c:name>
    <c:fmtId val="3"/>
  </c:pivotSource>
  <c:chart>
    <c:title>
      <c:tx>
        <c:rich>
          <a:bodyPr rot="0" spcFirstLastPara="1" vertOverflow="ellipsis" vert="horz" wrap="square" anchor="ctr" anchorCtr="1"/>
          <a:lstStyle/>
          <a:p>
            <a:pPr algn="ctr" rtl="0">
              <a:defRPr lang="en-US" sz="1600" b="0" i="0" u="none" strike="noStrike" kern="1200" spc="0" baseline="0">
                <a:solidFill>
                  <a:srgbClr val="FF0000"/>
                </a:solidFill>
                <a:latin typeface="+mj-lt"/>
                <a:ea typeface="+mn-ea"/>
                <a:cs typeface="+mn-cs"/>
              </a:defRPr>
            </a:pPr>
            <a:r>
              <a:rPr lang="en-US" sz="1600" b="0" i="0" u="none" strike="noStrike" kern="1200" spc="0" baseline="0">
                <a:solidFill>
                  <a:srgbClr val="FF0000"/>
                </a:solidFill>
                <a:latin typeface="+mj-lt"/>
                <a:ea typeface="+mn-ea"/>
                <a:cs typeface="+mn-cs"/>
              </a:rPr>
              <a:t>Rating</a:t>
            </a:r>
          </a:p>
        </c:rich>
      </c:tx>
      <c:overlay val="0"/>
      <c:spPr>
        <a:noFill/>
        <a:ln>
          <a:noFill/>
        </a:ln>
        <a:effectLst/>
      </c:spPr>
      <c:txPr>
        <a:bodyPr rot="0" spcFirstLastPara="1" vertOverflow="ellipsis" vert="horz" wrap="square" anchor="ctr" anchorCtr="1"/>
        <a:lstStyle/>
        <a:p>
          <a:pPr algn="ctr" rtl="0">
            <a:defRPr lang="en-US" sz="1600" b="0" i="0" u="none" strike="noStrike" kern="1200" spc="0" baseline="0">
              <a:solidFill>
                <a:srgbClr val="FF0000"/>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75000"/>
                </a:schemeClr>
              </a:gs>
              <a:gs pos="100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Pivots!$B$57</c:f>
              <c:strCache>
                <c:ptCount val="1"/>
                <c:pt idx="0">
                  <c:v>Total</c:v>
                </c:pt>
              </c:strCache>
            </c:strRef>
          </c:tx>
          <c:spPr>
            <a:gradFill>
              <a:gsLst>
                <a:gs pos="0">
                  <a:schemeClr val="accent6">
                    <a:lumMod val="75000"/>
                  </a:schemeClr>
                </a:gs>
                <a:gs pos="100000">
                  <a:schemeClr val="accent6">
                    <a:lumMod val="60000"/>
                    <a:lumOff val="40000"/>
                  </a:schemeClr>
                </a:gs>
              </a:gsLst>
              <a:lin ang="5400000" scaled="1"/>
            </a:gradFill>
            <a:ln>
              <a:noFill/>
            </a:ln>
            <a:effectLst/>
          </c:spPr>
          <c:invertIfNegative val="0"/>
          <c:cat>
            <c:strRef>
              <c:f>Pivots!$A$58:$A$63</c:f>
              <c:strCache>
                <c:ptCount val="5"/>
                <c:pt idx="0">
                  <c:v>1</c:v>
                </c:pt>
                <c:pt idx="1">
                  <c:v>2</c:v>
                </c:pt>
                <c:pt idx="2">
                  <c:v>3</c:v>
                </c:pt>
                <c:pt idx="3">
                  <c:v>4</c:v>
                </c:pt>
                <c:pt idx="4">
                  <c:v>5</c:v>
                </c:pt>
              </c:strCache>
            </c:strRef>
          </c:cat>
          <c:val>
            <c:numRef>
              <c:f>Pivots!$B$58:$B$63</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3110-445F-A9CD-176E96B38F9A}"/>
            </c:ext>
          </c:extLst>
        </c:ser>
        <c:dLbls>
          <c:showLegendKey val="0"/>
          <c:showVal val="0"/>
          <c:showCatName val="0"/>
          <c:showSerName val="0"/>
          <c:showPercent val="0"/>
          <c:showBubbleSize val="0"/>
        </c:dLbls>
        <c:gapWidth val="25"/>
        <c:overlap val="-27"/>
        <c:axId val="1240660848"/>
        <c:axId val="1240673328"/>
      </c:barChart>
      <c:catAx>
        <c:axId val="124066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673328"/>
        <c:crosses val="autoZero"/>
        <c:auto val="1"/>
        <c:lblAlgn val="ctr"/>
        <c:lblOffset val="100"/>
        <c:noMultiLvlLbl val="0"/>
      </c:catAx>
      <c:valAx>
        <c:axId val="12406733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660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3.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2.xm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5.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13.jpeg"/><Relationship Id="rId2" Type="http://schemas.openxmlformats.org/officeDocument/2006/relationships/image" Target="../media/image12.jpeg"/><Relationship Id="rId1" Type="http://schemas.openxmlformats.org/officeDocument/2006/relationships/image" Target="../media/image11.jpeg"/><Relationship Id="rId5" Type="http://schemas.openxmlformats.org/officeDocument/2006/relationships/image" Target="../media/image15.jpeg"/><Relationship Id="rId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7</xdr:col>
      <xdr:colOff>129540</xdr:colOff>
      <xdr:row>3</xdr:row>
      <xdr:rowOff>154305</xdr:rowOff>
    </xdr:from>
    <xdr:to>
      <xdr:col>9</xdr:col>
      <xdr:colOff>175260</xdr:colOff>
      <xdr:row>14</xdr:row>
      <xdr:rowOff>137160</xdr:rowOff>
    </xdr:to>
    <mc:AlternateContent xmlns:mc="http://schemas.openxmlformats.org/markup-compatibility/2006" xmlns:a14="http://schemas.microsoft.com/office/drawing/2010/main">
      <mc:Choice Requires="a14">
        <xdr:graphicFrame macro="">
          <xdr:nvGraphicFramePr>
            <xdr:cNvPr id="3" name="Representative">
              <a:extLst>
                <a:ext uri="{FF2B5EF4-FFF2-40B4-BE49-F238E27FC236}">
                  <a16:creationId xmlns:a16="http://schemas.microsoft.com/office/drawing/2014/main" id="{44E57821-F876-445E-7EE3-FA6A0661E529}"/>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438900" y="702945"/>
              <a:ext cx="1524000" cy="19945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522515</xdr:colOff>
      <xdr:row>21</xdr:row>
      <xdr:rowOff>130629</xdr:rowOff>
    </xdr:from>
    <xdr:to>
      <xdr:col>18</xdr:col>
      <xdr:colOff>326573</xdr:colOff>
      <xdr:row>32</xdr:row>
      <xdr:rowOff>89535</xdr:rowOff>
    </xdr:to>
    <mc:AlternateContent xmlns:mc="http://schemas.openxmlformats.org/markup-compatibility/2006" xmlns:a14="http://schemas.microsoft.com/office/drawing/2010/main">
      <mc:Choice Requires="a14">
        <xdr:graphicFrame macro="">
          <xdr:nvGraphicFramePr>
            <xdr:cNvPr id="7" name="Representative 1">
              <a:extLst>
                <a:ext uri="{FF2B5EF4-FFF2-40B4-BE49-F238E27FC236}">
                  <a16:creationId xmlns:a16="http://schemas.microsoft.com/office/drawing/2014/main" id="{A90EC5EE-E04D-489E-8056-7AC465742EEE}"/>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9720944" y="4016829"/>
              <a:ext cx="1524000" cy="19945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174172</xdr:colOff>
      <xdr:row>3</xdr:row>
      <xdr:rowOff>130629</xdr:rowOff>
    </xdr:from>
    <xdr:to>
      <xdr:col>14</xdr:col>
      <xdr:colOff>468086</xdr:colOff>
      <xdr:row>15</xdr:row>
      <xdr:rowOff>43543</xdr:rowOff>
    </xdr:to>
    <xdr:graphicFrame macro="">
      <xdr:nvGraphicFramePr>
        <xdr:cNvPr id="15" name="Chart 14">
          <a:extLst>
            <a:ext uri="{FF2B5EF4-FFF2-40B4-BE49-F238E27FC236}">
              <a16:creationId xmlns:a16="http://schemas.microsoft.com/office/drawing/2014/main" id="{2A86AEA7-D365-4D88-A571-984D3A2064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3</xdr:row>
      <xdr:rowOff>0</xdr:rowOff>
    </xdr:from>
    <xdr:to>
      <xdr:col>4</xdr:col>
      <xdr:colOff>0</xdr:colOff>
      <xdr:row>8</xdr:row>
      <xdr:rowOff>0</xdr:rowOff>
    </xdr:to>
    <xdr:sp macro="" textlink="Pivots!A4">
      <xdr:nvSpPr>
        <xdr:cNvPr id="3" name="Rectangle 2">
          <a:extLst>
            <a:ext uri="{FF2B5EF4-FFF2-40B4-BE49-F238E27FC236}">
              <a16:creationId xmlns:a16="http://schemas.microsoft.com/office/drawing/2014/main" id="{21DFE8AB-0699-BDC4-640B-194C146B9FFA}"/>
            </a:ext>
          </a:extLst>
        </xdr:cNvPr>
        <xdr:cNvSpPr/>
      </xdr:nvSpPr>
      <xdr:spPr>
        <a:xfrm>
          <a:off x="518160" y="548640"/>
          <a:ext cx="1341120" cy="914400"/>
        </a:xfrm>
        <a:prstGeom prst="rect">
          <a:avLst/>
        </a:prstGeom>
        <a:solidFill>
          <a:schemeClr val="accent5">
            <a:lumMod val="75000"/>
          </a:schemeClr>
        </a:solidFill>
        <a:ln>
          <a:noFill/>
        </a:ln>
        <a:effectLst>
          <a:outerShdw blurRad="101600" dist="762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3279817-60DA-41D0-AF03-8EB8C55F6D3E}" type="TxLink">
            <a:rPr lang="en-US" sz="2000" b="0" i="0" u="none" strike="noStrike">
              <a:solidFill>
                <a:schemeClr val="bg1"/>
              </a:solidFill>
              <a:latin typeface="+mj-lt"/>
            </a:rPr>
            <a:pPr algn="ctr"/>
            <a:t>1,000</a:t>
          </a:fld>
          <a:endParaRPr lang="en-US" sz="2000">
            <a:solidFill>
              <a:schemeClr val="bg1"/>
            </a:solidFill>
            <a:latin typeface="+mj-lt"/>
          </a:endParaRPr>
        </a:p>
      </xdr:txBody>
    </xdr:sp>
    <xdr:clientData/>
  </xdr:twoCellAnchor>
  <xdr:twoCellAnchor>
    <xdr:from>
      <xdr:col>2</xdr:col>
      <xdr:colOff>0</xdr:colOff>
      <xdr:row>3</xdr:row>
      <xdr:rowOff>15240</xdr:rowOff>
    </xdr:from>
    <xdr:to>
      <xdr:col>4</xdr:col>
      <xdr:colOff>0</xdr:colOff>
      <xdr:row>5</xdr:row>
      <xdr:rowOff>0</xdr:rowOff>
    </xdr:to>
    <xdr:sp macro="" textlink="">
      <xdr:nvSpPr>
        <xdr:cNvPr id="5" name="TextBox 4">
          <a:extLst>
            <a:ext uri="{FF2B5EF4-FFF2-40B4-BE49-F238E27FC236}">
              <a16:creationId xmlns:a16="http://schemas.microsoft.com/office/drawing/2014/main" id="{89554107-F68F-BF15-D2A9-E5984E1BB4CA}"/>
            </a:ext>
          </a:extLst>
        </xdr:cNvPr>
        <xdr:cNvSpPr txBox="1"/>
      </xdr:nvSpPr>
      <xdr:spPr>
        <a:xfrm>
          <a:off x="518160" y="563880"/>
          <a:ext cx="1341120" cy="350520"/>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latin typeface="+mj-lt"/>
              <a:ea typeface="+mn-ea"/>
              <a:cs typeface="+mn-cs"/>
            </a:rPr>
            <a:t>CALLS</a:t>
          </a:r>
        </a:p>
      </xdr:txBody>
    </xdr:sp>
    <xdr:clientData/>
  </xdr:twoCellAnchor>
  <xdr:twoCellAnchor>
    <xdr:from>
      <xdr:col>3</xdr:col>
      <xdr:colOff>0</xdr:colOff>
      <xdr:row>7</xdr:row>
      <xdr:rowOff>0</xdr:rowOff>
    </xdr:from>
    <xdr:to>
      <xdr:col>4</xdr:col>
      <xdr:colOff>0</xdr:colOff>
      <xdr:row>8</xdr:row>
      <xdr:rowOff>0</xdr:rowOff>
    </xdr:to>
    <xdr:sp macro="" textlink="Pivots!A14">
      <xdr:nvSpPr>
        <xdr:cNvPr id="6" name="TextBox 5">
          <a:extLst>
            <a:ext uri="{FF2B5EF4-FFF2-40B4-BE49-F238E27FC236}">
              <a16:creationId xmlns:a16="http://schemas.microsoft.com/office/drawing/2014/main" id="{0531D3A7-2AB7-DBC1-9249-9EB12E0EADD2}"/>
            </a:ext>
          </a:extLst>
        </xdr:cNvPr>
        <xdr:cNvSpPr txBox="1"/>
      </xdr:nvSpPr>
      <xdr:spPr>
        <a:xfrm>
          <a:off x="1188720" y="1280160"/>
          <a:ext cx="670560" cy="182880"/>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6E3B51-4157-4006-8240-3D97789DE4CF}" type="TxLink">
            <a:rPr lang="en-US" sz="1100" b="0" i="0" u="none" strike="noStrike">
              <a:solidFill>
                <a:schemeClr val="bg1"/>
              </a:solidFill>
              <a:latin typeface="Aptos"/>
            </a:rPr>
            <a:pPr algn="ctr"/>
            <a:t>189</a:t>
          </a:fld>
          <a:endParaRPr lang="en-US" sz="1100">
            <a:solidFill>
              <a:schemeClr val="bg1"/>
            </a:solidFill>
          </a:endParaRPr>
        </a:p>
      </xdr:txBody>
    </xdr:sp>
    <xdr:clientData/>
  </xdr:twoCellAnchor>
  <xdr:twoCellAnchor>
    <xdr:from>
      <xdr:col>2</xdr:col>
      <xdr:colOff>0</xdr:colOff>
      <xdr:row>10</xdr:row>
      <xdr:rowOff>0</xdr:rowOff>
    </xdr:from>
    <xdr:to>
      <xdr:col>4</xdr:col>
      <xdr:colOff>0</xdr:colOff>
      <xdr:row>15</xdr:row>
      <xdr:rowOff>0</xdr:rowOff>
    </xdr:to>
    <xdr:sp macro="" textlink="Pivots!B4">
      <xdr:nvSpPr>
        <xdr:cNvPr id="8" name="Rectangle 7">
          <a:extLst>
            <a:ext uri="{FF2B5EF4-FFF2-40B4-BE49-F238E27FC236}">
              <a16:creationId xmlns:a16="http://schemas.microsoft.com/office/drawing/2014/main" id="{1498BEF3-7403-4038-9071-0D28AD8259D5}"/>
            </a:ext>
          </a:extLst>
        </xdr:cNvPr>
        <xdr:cNvSpPr/>
      </xdr:nvSpPr>
      <xdr:spPr>
        <a:xfrm>
          <a:off x="518160" y="1828800"/>
          <a:ext cx="1341120" cy="914400"/>
        </a:xfrm>
        <a:prstGeom prst="rect">
          <a:avLst/>
        </a:prstGeom>
        <a:solidFill>
          <a:schemeClr val="accent5">
            <a:lumMod val="75000"/>
          </a:schemeClr>
        </a:solidFill>
        <a:ln>
          <a:noFill/>
        </a:ln>
        <a:effectLst>
          <a:outerShdw blurRad="101600" dist="762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319A401-E462-4C18-B4A3-B7FE2D0815FA}" type="TxLink">
            <a:rPr lang="en-US" sz="2000" b="0" i="0" u="none" strike="noStrike">
              <a:solidFill>
                <a:schemeClr val="bg1"/>
              </a:solidFill>
              <a:latin typeface="+mj-lt"/>
              <a:ea typeface="+mn-ea"/>
              <a:cs typeface="+mn-cs"/>
            </a:rPr>
            <a:pPr marL="0" indent="0" algn="ctr"/>
            <a:t>$96,623</a:t>
          </a:fld>
          <a:endParaRPr lang="en-US" sz="2000" b="0" i="0" u="none" strike="noStrike">
            <a:solidFill>
              <a:schemeClr val="bg1"/>
            </a:solidFill>
            <a:latin typeface="+mj-lt"/>
            <a:ea typeface="+mn-ea"/>
            <a:cs typeface="+mn-cs"/>
          </a:endParaRPr>
        </a:p>
      </xdr:txBody>
    </xdr:sp>
    <xdr:clientData/>
  </xdr:twoCellAnchor>
  <xdr:twoCellAnchor>
    <xdr:from>
      <xdr:col>2</xdr:col>
      <xdr:colOff>0</xdr:colOff>
      <xdr:row>10</xdr:row>
      <xdr:rowOff>30480</xdr:rowOff>
    </xdr:from>
    <xdr:to>
      <xdr:col>4</xdr:col>
      <xdr:colOff>0</xdr:colOff>
      <xdr:row>12</xdr:row>
      <xdr:rowOff>0</xdr:rowOff>
    </xdr:to>
    <xdr:sp macro="" textlink="">
      <xdr:nvSpPr>
        <xdr:cNvPr id="9" name="TextBox 8">
          <a:extLst>
            <a:ext uri="{FF2B5EF4-FFF2-40B4-BE49-F238E27FC236}">
              <a16:creationId xmlns:a16="http://schemas.microsoft.com/office/drawing/2014/main" id="{B8261F48-41FD-A93A-1828-B43516C98C8D}"/>
            </a:ext>
          </a:extLst>
        </xdr:cNvPr>
        <xdr:cNvSpPr txBox="1"/>
      </xdr:nvSpPr>
      <xdr:spPr>
        <a:xfrm>
          <a:off x="518160" y="1859280"/>
          <a:ext cx="1341120" cy="335280"/>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latin typeface="+mj-lt"/>
            </a:rPr>
            <a:t>AMOUNT</a:t>
          </a:r>
        </a:p>
      </xdr:txBody>
    </xdr:sp>
    <xdr:clientData/>
  </xdr:twoCellAnchor>
  <xdr:twoCellAnchor>
    <xdr:from>
      <xdr:col>3</xdr:col>
      <xdr:colOff>0</xdr:colOff>
      <xdr:row>14</xdr:row>
      <xdr:rowOff>0</xdr:rowOff>
    </xdr:from>
    <xdr:to>
      <xdr:col>4</xdr:col>
      <xdr:colOff>0</xdr:colOff>
      <xdr:row>15</xdr:row>
      <xdr:rowOff>0</xdr:rowOff>
    </xdr:to>
    <xdr:sp macro="" textlink="Pivots!B14">
      <xdr:nvSpPr>
        <xdr:cNvPr id="10" name="TextBox 9">
          <a:extLst>
            <a:ext uri="{FF2B5EF4-FFF2-40B4-BE49-F238E27FC236}">
              <a16:creationId xmlns:a16="http://schemas.microsoft.com/office/drawing/2014/main" id="{2FB0CBEC-75B9-D0A4-0863-268A499EDB1B}"/>
            </a:ext>
          </a:extLst>
        </xdr:cNvPr>
        <xdr:cNvSpPr txBox="1"/>
      </xdr:nvSpPr>
      <xdr:spPr>
        <a:xfrm>
          <a:off x="1188720" y="2560320"/>
          <a:ext cx="670560" cy="182880"/>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D8D89C-76CF-4F7F-9663-B9FE51F4FA50}" type="TxLink">
            <a:rPr lang="en-US" sz="1100" b="0" i="0" u="none" strike="noStrike">
              <a:solidFill>
                <a:schemeClr val="bg1"/>
              </a:solidFill>
              <a:latin typeface="Aptos"/>
            </a:rPr>
            <a:pPr/>
            <a:t>$18,415</a:t>
          </a:fld>
          <a:endParaRPr lang="en-US" sz="1100">
            <a:solidFill>
              <a:schemeClr val="bg1"/>
            </a:solidFill>
          </a:endParaRPr>
        </a:p>
      </xdr:txBody>
    </xdr:sp>
    <xdr:clientData/>
  </xdr:twoCellAnchor>
  <xdr:twoCellAnchor>
    <xdr:from>
      <xdr:col>2</xdr:col>
      <xdr:colOff>0</xdr:colOff>
      <xdr:row>17</xdr:row>
      <xdr:rowOff>0</xdr:rowOff>
    </xdr:from>
    <xdr:to>
      <xdr:col>4</xdr:col>
      <xdr:colOff>0</xdr:colOff>
      <xdr:row>22</xdr:row>
      <xdr:rowOff>0</xdr:rowOff>
    </xdr:to>
    <xdr:sp macro="" textlink="Pivots!C4">
      <xdr:nvSpPr>
        <xdr:cNvPr id="11" name="Rectangle 10">
          <a:extLst>
            <a:ext uri="{FF2B5EF4-FFF2-40B4-BE49-F238E27FC236}">
              <a16:creationId xmlns:a16="http://schemas.microsoft.com/office/drawing/2014/main" id="{67A36740-4DB4-4DD7-BFEF-296D2EB567DD}"/>
            </a:ext>
          </a:extLst>
        </xdr:cNvPr>
        <xdr:cNvSpPr/>
      </xdr:nvSpPr>
      <xdr:spPr>
        <a:xfrm>
          <a:off x="518160" y="3108960"/>
          <a:ext cx="1341120" cy="914400"/>
        </a:xfrm>
        <a:prstGeom prst="rect">
          <a:avLst/>
        </a:prstGeom>
        <a:solidFill>
          <a:schemeClr val="accent5">
            <a:lumMod val="75000"/>
          </a:schemeClr>
        </a:solidFill>
        <a:ln>
          <a:noFill/>
        </a:ln>
        <a:effectLst>
          <a:outerShdw blurRad="101600" dist="762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9865B0B-614B-4158-9D43-BECE447F1B7E}" type="TxLink">
            <a:rPr lang="en-US" sz="2000" b="0" i="0" u="none" strike="noStrike">
              <a:solidFill>
                <a:schemeClr val="bg1"/>
              </a:solidFill>
              <a:latin typeface="+mj-lt"/>
              <a:ea typeface="+mn-ea"/>
              <a:cs typeface="+mn-cs"/>
            </a:rPr>
            <a:pPr marL="0" indent="0" algn="ctr"/>
            <a:t>3.9</a:t>
          </a:fld>
          <a:endParaRPr lang="en-US" sz="2000" b="0" i="0" u="none" strike="noStrike">
            <a:solidFill>
              <a:schemeClr val="bg1"/>
            </a:solidFill>
            <a:latin typeface="+mj-lt"/>
            <a:ea typeface="+mn-ea"/>
            <a:cs typeface="+mn-cs"/>
          </a:endParaRPr>
        </a:p>
      </xdr:txBody>
    </xdr:sp>
    <xdr:clientData/>
  </xdr:twoCellAnchor>
  <xdr:oneCellAnchor>
    <xdr:from>
      <xdr:col>2</xdr:col>
      <xdr:colOff>198120</xdr:colOff>
      <xdr:row>17</xdr:row>
      <xdr:rowOff>22860</xdr:rowOff>
    </xdr:from>
    <xdr:ext cx="1143000" cy="264560"/>
    <xdr:sp macro="" textlink="">
      <xdr:nvSpPr>
        <xdr:cNvPr id="12" name="TextBox 11">
          <a:extLst>
            <a:ext uri="{FF2B5EF4-FFF2-40B4-BE49-F238E27FC236}">
              <a16:creationId xmlns:a16="http://schemas.microsoft.com/office/drawing/2014/main" id="{A62EA48E-E1F6-A0BB-0E5F-BD6FFFC62DAB}"/>
            </a:ext>
          </a:extLst>
        </xdr:cNvPr>
        <xdr:cNvSpPr txBox="1"/>
      </xdr:nvSpPr>
      <xdr:spPr>
        <a:xfrm>
          <a:off x="716280" y="3131820"/>
          <a:ext cx="1143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a:solidFill>
                <a:schemeClr val="bg1"/>
              </a:solidFill>
              <a:latin typeface="+mj-lt"/>
              <a:ea typeface="+mn-ea"/>
              <a:cs typeface="+mn-cs"/>
            </a:rPr>
            <a:t>RATING</a:t>
          </a:r>
        </a:p>
      </xdr:txBody>
    </xdr:sp>
    <xdr:clientData/>
  </xdr:oneCellAnchor>
  <xdr:twoCellAnchor>
    <xdr:from>
      <xdr:col>3</xdr:col>
      <xdr:colOff>0</xdr:colOff>
      <xdr:row>21</xdr:row>
      <xdr:rowOff>0</xdr:rowOff>
    </xdr:from>
    <xdr:to>
      <xdr:col>4</xdr:col>
      <xdr:colOff>0</xdr:colOff>
      <xdr:row>22</xdr:row>
      <xdr:rowOff>0</xdr:rowOff>
    </xdr:to>
    <xdr:sp macro="" textlink="Pivots!C14">
      <xdr:nvSpPr>
        <xdr:cNvPr id="13" name="TextBox 12">
          <a:extLst>
            <a:ext uri="{FF2B5EF4-FFF2-40B4-BE49-F238E27FC236}">
              <a16:creationId xmlns:a16="http://schemas.microsoft.com/office/drawing/2014/main" id="{89EFC855-96C2-FEC2-5EC8-7AE2B017A284}"/>
            </a:ext>
          </a:extLst>
        </xdr:cNvPr>
        <xdr:cNvSpPr txBox="1"/>
      </xdr:nvSpPr>
      <xdr:spPr>
        <a:xfrm>
          <a:off x="1188720" y="3840480"/>
          <a:ext cx="670560" cy="182880"/>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0" i="0" u="none" strike="noStrike">
              <a:solidFill>
                <a:schemeClr val="bg1"/>
              </a:solidFill>
              <a:latin typeface="Aptos"/>
              <a:ea typeface="+mn-ea"/>
              <a:cs typeface="+mn-cs"/>
            </a:rPr>
            <a:t>         </a:t>
          </a:r>
          <a:fld id="{FEA09F43-3DA0-41D1-9FDE-C1F2BBDE7428}" type="TxLink">
            <a:rPr lang="en-US" sz="1100" b="0" i="0" u="none" strike="noStrike">
              <a:solidFill>
                <a:schemeClr val="bg1"/>
              </a:solidFill>
              <a:latin typeface="Aptos"/>
              <a:ea typeface="+mn-ea"/>
              <a:cs typeface="+mn-cs"/>
            </a:rPr>
            <a:pPr marL="0" indent="0" algn="ctr"/>
            <a:t>3.9</a:t>
          </a:fld>
          <a:endParaRPr lang="en-US" sz="1100" b="0" i="0" u="none" strike="noStrike">
            <a:solidFill>
              <a:schemeClr val="bg1"/>
            </a:solidFill>
            <a:latin typeface="Aptos"/>
            <a:ea typeface="+mn-ea"/>
            <a:cs typeface="+mn-cs"/>
          </a:endParaRPr>
        </a:p>
      </xdr:txBody>
    </xdr:sp>
    <xdr:clientData/>
  </xdr:twoCellAnchor>
  <xdr:twoCellAnchor>
    <xdr:from>
      <xdr:col>2</xdr:col>
      <xdr:colOff>0</xdr:colOff>
      <xdr:row>24</xdr:row>
      <xdr:rowOff>0</xdr:rowOff>
    </xdr:from>
    <xdr:to>
      <xdr:col>4</xdr:col>
      <xdr:colOff>0</xdr:colOff>
      <xdr:row>29</xdr:row>
      <xdr:rowOff>0</xdr:rowOff>
    </xdr:to>
    <xdr:sp macro="" textlink="Pivots!D4">
      <xdr:nvSpPr>
        <xdr:cNvPr id="14" name="Rectangle 13">
          <a:extLst>
            <a:ext uri="{FF2B5EF4-FFF2-40B4-BE49-F238E27FC236}">
              <a16:creationId xmlns:a16="http://schemas.microsoft.com/office/drawing/2014/main" id="{A127DDC8-5BB2-4CED-901C-994EEFBAE2CD}"/>
            </a:ext>
          </a:extLst>
        </xdr:cNvPr>
        <xdr:cNvSpPr/>
      </xdr:nvSpPr>
      <xdr:spPr>
        <a:xfrm>
          <a:off x="518160" y="4389120"/>
          <a:ext cx="1341120" cy="914400"/>
        </a:xfrm>
        <a:prstGeom prst="rect">
          <a:avLst/>
        </a:prstGeom>
        <a:solidFill>
          <a:schemeClr val="accent5">
            <a:lumMod val="75000"/>
          </a:schemeClr>
        </a:solidFill>
        <a:ln>
          <a:noFill/>
        </a:ln>
        <a:effectLst>
          <a:outerShdw blurRad="101600" dist="762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DFB1F7C-1277-4477-BB85-37F6ECF54F0A}" type="TxLink">
            <a:rPr lang="en-US" sz="2000" b="0" i="0" u="none" strike="noStrike">
              <a:solidFill>
                <a:schemeClr val="bg1"/>
              </a:solidFill>
              <a:latin typeface="+mj-lt"/>
              <a:ea typeface="+mn-ea"/>
              <a:cs typeface="+mn-cs"/>
            </a:rPr>
            <a:pPr marL="0" indent="0" algn="ctr"/>
            <a:t>307</a:t>
          </a:fld>
          <a:endParaRPr lang="en-US" sz="2000" b="0" i="0" u="none" strike="noStrike">
            <a:solidFill>
              <a:schemeClr val="bg1"/>
            </a:solidFill>
            <a:latin typeface="+mj-lt"/>
            <a:ea typeface="+mn-ea"/>
            <a:cs typeface="+mn-cs"/>
          </a:endParaRPr>
        </a:p>
      </xdr:txBody>
    </xdr:sp>
    <xdr:clientData/>
  </xdr:twoCellAnchor>
  <xdr:twoCellAnchor>
    <xdr:from>
      <xdr:col>2</xdr:col>
      <xdr:colOff>99060</xdr:colOff>
      <xdr:row>24</xdr:row>
      <xdr:rowOff>15240</xdr:rowOff>
    </xdr:from>
    <xdr:to>
      <xdr:col>4</xdr:col>
      <xdr:colOff>0</xdr:colOff>
      <xdr:row>26</xdr:row>
      <xdr:rowOff>0</xdr:rowOff>
    </xdr:to>
    <xdr:sp macro="" textlink="">
      <xdr:nvSpPr>
        <xdr:cNvPr id="18" name="TextBox 17">
          <a:extLst>
            <a:ext uri="{FF2B5EF4-FFF2-40B4-BE49-F238E27FC236}">
              <a16:creationId xmlns:a16="http://schemas.microsoft.com/office/drawing/2014/main" id="{B8A54E57-5A56-FB7B-F96A-9B79DF294393}"/>
            </a:ext>
          </a:extLst>
        </xdr:cNvPr>
        <xdr:cNvSpPr txBox="1"/>
      </xdr:nvSpPr>
      <xdr:spPr>
        <a:xfrm>
          <a:off x="617220" y="4404360"/>
          <a:ext cx="1242060" cy="350520"/>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latin typeface="+mj-lt"/>
            </a:rPr>
            <a:t>CUSTOMER</a:t>
          </a:r>
        </a:p>
      </xdr:txBody>
    </xdr:sp>
    <xdr:clientData/>
  </xdr:twoCellAnchor>
  <xdr:twoCellAnchor>
    <xdr:from>
      <xdr:col>3</xdr:col>
      <xdr:colOff>0</xdr:colOff>
      <xdr:row>28</xdr:row>
      <xdr:rowOff>0</xdr:rowOff>
    </xdr:from>
    <xdr:to>
      <xdr:col>4</xdr:col>
      <xdr:colOff>0</xdr:colOff>
      <xdr:row>29</xdr:row>
      <xdr:rowOff>0</xdr:rowOff>
    </xdr:to>
    <xdr:sp macro="" textlink="Pivots!D14">
      <xdr:nvSpPr>
        <xdr:cNvPr id="19" name="TextBox 18">
          <a:extLst>
            <a:ext uri="{FF2B5EF4-FFF2-40B4-BE49-F238E27FC236}">
              <a16:creationId xmlns:a16="http://schemas.microsoft.com/office/drawing/2014/main" id="{3EECF2F1-549B-4965-B721-ADA9247E4BEF}"/>
            </a:ext>
          </a:extLst>
        </xdr:cNvPr>
        <xdr:cNvSpPr txBox="1"/>
      </xdr:nvSpPr>
      <xdr:spPr>
        <a:xfrm>
          <a:off x="1188720" y="5120640"/>
          <a:ext cx="670560" cy="182880"/>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78E137D-5C54-4C58-B342-7EB5D86863F0}" type="TxLink">
            <a:rPr lang="en-US" sz="1100" b="0" i="0" u="none" strike="noStrike">
              <a:solidFill>
                <a:schemeClr val="bg1"/>
              </a:solidFill>
              <a:latin typeface="Aptos"/>
            </a:rPr>
            <a:pPr/>
            <a:t>60</a:t>
          </a:fld>
          <a:endParaRPr lang="en-US" sz="1100">
            <a:solidFill>
              <a:schemeClr val="bg1"/>
            </a:solidFill>
          </a:endParaRPr>
        </a:p>
      </xdr:txBody>
    </xdr:sp>
    <xdr:clientData/>
  </xdr:twoCellAnchor>
  <xdr:twoCellAnchor editAs="oneCell">
    <xdr:from>
      <xdr:col>2</xdr:col>
      <xdr:colOff>0</xdr:colOff>
      <xdr:row>17</xdr:row>
      <xdr:rowOff>1</xdr:rowOff>
    </xdr:from>
    <xdr:to>
      <xdr:col>2</xdr:col>
      <xdr:colOff>372044</xdr:colOff>
      <xdr:row>19</xdr:row>
      <xdr:rowOff>1</xdr:rowOff>
    </xdr:to>
    <xdr:pic>
      <xdr:nvPicPr>
        <xdr:cNvPr id="20" name="Graphic 19" descr="Call center with solid fill">
          <a:extLst>
            <a:ext uri="{FF2B5EF4-FFF2-40B4-BE49-F238E27FC236}">
              <a16:creationId xmlns:a16="http://schemas.microsoft.com/office/drawing/2014/main" id="{03BF0B1C-66C2-4854-9FD6-4D544F1296F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20576464">
          <a:off x="518160" y="3108961"/>
          <a:ext cx="372044" cy="365760"/>
        </a:xfrm>
        <a:prstGeom prst="rect">
          <a:avLst/>
        </a:prstGeom>
      </xdr:spPr>
    </xdr:pic>
    <xdr:clientData/>
  </xdr:twoCellAnchor>
  <xdr:twoCellAnchor editAs="oneCell">
    <xdr:from>
      <xdr:col>2</xdr:col>
      <xdr:colOff>33255</xdr:colOff>
      <xdr:row>24</xdr:row>
      <xdr:rowOff>89393</xdr:rowOff>
    </xdr:from>
    <xdr:to>
      <xdr:col>2</xdr:col>
      <xdr:colOff>276367</xdr:colOff>
      <xdr:row>25</xdr:row>
      <xdr:rowOff>149625</xdr:rowOff>
    </xdr:to>
    <xdr:pic>
      <xdr:nvPicPr>
        <xdr:cNvPr id="21" name="Graphic 20" descr="Angel face outline with solid fill">
          <a:extLst>
            <a:ext uri="{FF2B5EF4-FFF2-40B4-BE49-F238E27FC236}">
              <a16:creationId xmlns:a16="http://schemas.microsoft.com/office/drawing/2014/main" id="{BC13DC50-4568-432C-B4B1-34A37F5E681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rot="20446110">
          <a:off x="551415" y="4478513"/>
          <a:ext cx="243112" cy="243112"/>
        </a:xfrm>
        <a:prstGeom prst="rect">
          <a:avLst/>
        </a:prstGeom>
      </xdr:spPr>
    </xdr:pic>
    <xdr:clientData/>
  </xdr:twoCellAnchor>
  <xdr:twoCellAnchor editAs="oneCell">
    <xdr:from>
      <xdr:col>2</xdr:col>
      <xdr:colOff>0</xdr:colOff>
      <xdr:row>3</xdr:row>
      <xdr:rowOff>0</xdr:rowOff>
    </xdr:from>
    <xdr:to>
      <xdr:col>2</xdr:col>
      <xdr:colOff>274320</xdr:colOff>
      <xdr:row>4</xdr:row>
      <xdr:rowOff>91440</xdr:rowOff>
    </xdr:to>
    <xdr:pic>
      <xdr:nvPicPr>
        <xdr:cNvPr id="22" name="Graphic 21" descr="Receiver with solid fill">
          <a:extLst>
            <a:ext uri="{FF2B5EF4-FFF2-40B4-BE49-F238E27FC236}">
              <a16:creationId xmlns:a16="http://schemas.microsoft.com/office/drawing/2014/main" id="{064759ED-B685-4C3F-9FD5-C62DAE5C7F7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rot="174282">
          <a:off x="518160" y="548640"/>
          <a:ext cx="274320" cy="274320"/>
        </a:xfrm>
        <a:prstGeom prst="rect">
          <a:avLst/>
        </a:prstGeom>
      </xdr:spPr>
    </xdr:pic>
    <xdr:clientData/>
  </xdr:twoCellAnchor>
  <xdr:twoCellAnchor editAs="oneCell">
    <xdr:from>
      <xdr:col>2</xdr:col>
      <xdr:colOff>0</xdr:colOff>
      <xdr:row>10</xdr:row>
      <xdr:rowOff>0</xdr:rowOff>
    </xdr:from>
    <xdr:to>
      <xdr:col>2</xdr:col>
      <xdr:colOff>365760</xdr:colOff>
      <xdr:row>12</xdr:row>
      <xdr:rowOff>0</xdr:rowOff>
    </xdr:to>
    <xdr:pic>
      <xdr:nvPicPr>
        <xdr:cNvPr id="23" name="Graphic 22" descr="Shopping cart with solid fill">
          <a:extLst>
            <a:ext uri="{FF2B5EF4-FFF2-40B4-BE49-F238E27FC236}">
              <a16:creationId xmlns:a16="http://schemas.microsoft.com/office/drawing/2014/main" id="{48DE6DAD-F3AA-4CB4-8E65-C370190E495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rot="20415190">
          <a:off x="518160" y="1828800"/>
          <a:ext cx="365760" cy="365760"/>
        </a:xfrm>
        <a:prstGeom prst="rect">
          <a:avLst/>
        </a:prstGeom>
      </xdr:spPr>
    </xdr:pic>
    <xdr:clientData/>
  </xdr:twoCellAnchor>
  <xdr:twoCellAnchor>
    <xdr:from>
      <xdr:col>2</xdr:col>
      <xdr:colOff>0</xdr:colOff>
      <xdr:row>31</xdr:row>
      <xdr:rowOff>0</xdr:rowOff>
    </xdr:from>
    <xdr:to>
      <xdr:col>4</xdr:col>
      <xdr:colOff>0</xdr:colOff>
      <xdr:row>36</xdr:row>
      <xdr:rowOff>0</xdr:rowOff>
    </xdr:to>
    <xdr:sp macro="" textlink="Pivots!E4">
      <xdr:nvSpPr>
        <xdr:cNvPr id="26" name="Rectangle 25">
          <a:extLst>
            <a:ext uri="{FF2B5EF4-FFF2-40B4-BE49-F238E27FC236}">
              <a16:creationId xmlns:a16="http://schemas.microsoft.com/office/drawing/2014/main" id="{EDAE1BC2-6AEC-43CD-A7B7-6C545AA3E15C}"/>
            </a:ext>
          </a:extLst>
        </xdr:cNvPr>
        <xdr:cNvSpPr/>
      </xdr:nvSpPr>
      <xdr:spPr>
        <a:xfrm>
          <a:off x="518160" y="5669280"/>
          <a:ext cx="1341120" cy="914400"/>
        </a:xfrm>
        <a:prstGeom prst="rect">
          <a:avLst/>
        </a:prstGeom>
        <a:solidFill>
          <a:schemeClr val="accent5">
            <a:lumMod val="75000"/>
          </a:schemeClr>
        </a:solidFill>
        <a:ln>
          <a:noFill/>
        </a:ln>
        <a:effectLst>
          <a:outerShdw blurRad="101600" dist="762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2421BA0-54F8-41A3-B5BE-144257B7D0F8}" type="TxLink">
            <a:rPr lang="en-US" sz="2000" b="0" i="0" u="none" strike="noStrike">
              <a:solidFill>
                <a:schemeClr val="bg1"/>
              </a:solidFill>
              <a:latin typeface="+mj-lt"/>
              <a:ea typeface="+mn-ea"/>
              <a:cs typeface="+mn-cs"/>
            </a:rPr>
            <a:pPr marL="0" indent="0" algn="ctr"/>
            <a:t>89850</a:t>
          </a:fld>
          <a:endParaRPr lang="en-US" sz="2000" b="0" i="0" u="none" strike="noStrike">
            <a:solidFill>
              <a:schemeClr val="bg1"/>
            </a:solidFill>
            <a:latin typeface="+mj-lt"/>
            <a:ea typeface="+mn-ea"/>
            <a:cs typeface="+mn-cs"/>
          </a:endParaRPr>
        </a:p>
      </xdr:txBody>
    </xdr:sp>
    <xdr:clientData/>
  </xdr:twoCellAnchor>
  <xdr:twoCellAnchor>
    <xdr:from>
      <xdr:col>2</xdr:col>
      <xdr:colOff>160020</xdr:colOff>
      <xdr:row>31</xdr:row>
      <xdr:rowOff>7620</xdr:rowOff>
    </xdr:from>
    <xdr:to>
      <xdr:col>4</xdr:col>
      <xdr:colOff>0</xdr:colOff>
      <xdr:row>33</xdr:row>
      <xdr:rowOff>0</xdr:rowOff>
    </xdr:to>
    <xdr:sp macro="" textlink="">
      <xdr:nvSpPr>
        <xdr:cNvPr id="27" name="TextBox 26">
          <a:extLst>
            <a:ext uri="{FF2B5EF4-FFF2-40B4-BE49-F238E27FC236}">
              <a16:creationId xmlns:a16="http://schemas.microsoft.com/office/drawing/2014/main" id="{C95493C0-A11A-60CE-C26F-A89257253211}"/>
            </a:ext>
          </a:extLst>
        </xdr:cNvPr>
        <xdr:cNvSpPr txBox="1"/>
      </xdr:nvSpPr>
      <xdr:spPr>
        <a:xfrm>
          <a:off x="678180" y="5676900"/>
          <a:ext cx="1181100" cy="358140"/>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mj-lt"/>
            </a:rPr>
            <a:t>DURATION</a:t>
          </a:r>
        </a:p>
      </xdr:txBody>
    </xdr:sp>
    <xdr:clientData/>
  </xdr:twoCellAnchor>
  <xdr:twoCellAnchor>
    <xdr:from>
      <xdr:col>3</xdr:col>
      <xdr:colOff>0</xdr:colOff>
      <xdr:row>35</xdr:row>
      <xdr:rowOff>0</xdr:rowOff>
    </xdr:from>
    <xdr:to>
      <xdr:col>4</xdr:col>
      <xdr:colOff>0</xdr:colOff>
      <xdr:row>36</xdr:row>
      <xdr:rowOff>0</xdr:rowOff>
    </xdr:to>
    <xdr:sp macro="" textlink="Pivots!$E$14">
      <xdr:nvSpPr>
        <xdr:cNvPr id="28" name="TextBox 27">
          <a:extLst>
            <a:ext uri="{FF2B5EF4-FFF2-40B4-BE49-F238E27FC236}">
              <a16:creationId xmlns:a16="http://schemas.microsoft.com/office/drawing/2014/main" id="{7C57F4B2-8B30-3928-69ED-EE779AD48D2F}"/>
            </a:ext>
          </a:extLst>
        </xdr:cNvPr>
        <xdr:cNvSpPr txBox="1"/>
      </xdr:nvSpPr>
      <xdr:spPr>
        <a:xfrm>
          <a:off x="1188720" y="6400800"/>
          <a:ext cx="670560" cy="182880"/>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760AA7-82F9-4F75-B905-B202BA035C6F}" type="TxLink">
            <a:rPr lang="en-US" sz="1100" b="0" i="0" u="none" strike="noStrike">
              <a:solidFill>
                <a:schemeClr val="bg1"/>
              </a:solidFill>
              <a:latin typeface="Aptos"/>
            </a:rPr>
            <a:pPr/>
            <a:t>16834</a:t>
          </a:fld>
          <a:endParaRPr lang="en-US" sz="1100">
            <a:solidFill>
              <a:schemeClr val="bg1"/>
            </a:solidFill>
          </a:endParaRPr>
        </a:p>
      </xdr:txBody>
    </xdr:sp>
    <xdr:clientData/>
  </xdr:twoCellAnchor>
  <xdr:twoCellAnchor editAs="oneCell">
    <xdr:from>
      <xdr:col>1</xdr:col>
      <xdr:colOff>271862</xdr:colOff>
      <xdr:row>31</xdr:row>
      <xdr:rowOff>13081</xdr:rowOff>
    </xdr:from>
    <xdr:to>
      <xdr:col>2</xdr:col>
      <xdr:colOff>264242</xdr:colOff>
      <xdr:row>32</xdr:row>
      <xdr:rowOff>101193</xdr:rowOff>
    </xdr:to>
    <xdr:pic>
      <xdr:nvPicPr>
        <xdr:cNvPr id="29" name="Graphic 28" descr="Hourglass Finished with solid fill">
          <a:extLst>
            <a:ext uri="{FF2B5EF4-FFF2-40B4-BE49-F238E27FC236}">
              <a16:creationId xmlns:a16="http://schemas.microsoft.com/office/drawing/2014/main" id="{ECAD004E-CCC1-465A-8CFF-7964C7DC149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rot="20755993">
          <a:off x="508082" y="5682361"/>
          <a:ext cx="274320" cy="270992"/>
        </a:xfrm>
        <a:prstGeom prst="rect">
          <a:avLst/>
        </a:prstGeom>
      </xdr:spPr>
    </xdr:pic>
    <xdr:clientData/>
  </xdr:twoCellAnchor>
  <xdr:twoCellAnchor>
    <xdr:from>
      <xdr:col>5</xdr:col>
      <xdr:colOff>0</xdr:colOff>
      <xdr:row>3</xdr:row>
      <xdr:rowOff>0</xdr:rowOff>
    </xdr:from>
    <xdr:to>
      <xdr:col>11</xdr:col>
      <xdr:colOff>272143</xdr:colOff>
      <xdr:row>16</xdr:row>
      <xdr:rowOff>174172</xdr:rowOff>
    </xdr:to>
    <xdr:graphicFrame macro="">
      <xdr:nvGraphicFramePr>
        <xdr:cNvPr id="4" name="Chart 3">
          <a:extLst>
            <a:ext uri="{FF2B5EF4-FFF2-40B4-BE49-F238E27FC236}">
              <a16:creationId xmlns:a16="http://schemas.microsoft.com/office/drawing/2014/main" id="{5D33FC7C-F951-4DBE-BCED-AB017508CB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555171</xdr:colOff>
      <xdr:row>20</xdr:row>
      <xdr:rowOff>141513</xdr:rowOff>
    </xdr:from>
    <xdr:to>
      <xdr:col>10</xdr:col>
      <xdr:colOff>381000</xdr:colOff>
      <xdr:row>35</xdr:row>
      <xdr:rowOff>108857</xdr:rowOff>
    </xdr:to>
    <xdr:graphicFrame macro="">
      <xdr:nvGraphicFramePr>
        <xdr:cNvPr id="16" name="Chart 15">
          <a:extLst>
            <a:ext uri="{FF2B5EF4-FFF2-40B4-BE49-F238E27FC236}">
              <a16:creationId xmlns:a16="http://schemas.microsoft.com/office/drawing/2014/main" id="{79C5BA89-F3D4-4333-8136-3DC185C1C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293915</xdr:colOff>
      <xdr:row>20</xdr:row>
      <xdr:rowOff>141514</xdr:rowOff>
    </xdr:from>
    <xdr:to>
      <xdr:col>15</xdr:col>
      <xdr:colOff>620485</xdr:colOff>
      <xdr:row>36</xdr:row>
      <xdr:rowOff>0</xdr:rowOff>
    </xdr:to>
    <xdr:graphicFrame macro="">
      <xdr:nvGraphicFramePr>
        <xdr:cNvPr id="17" name="Chart 16">
          <a:extLst>
            <a:ext uri="{FF2B5EF4-FFF2-40B4-BE49-F238E27FC236}">
              <a16:creationId xmlns:a16="http://schemas.microsoft.com/office/drawing/2014/main" id="{F9F5445E-594F-4030-868E-A0DBD5C84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29390</xdr:colOff>
      <xdr:row>0</xdr:row>
      <xdr:rowOff>185056</xdr:rowOff>
    </xdr:from>
    <xdr:to>
      <xdr:col>24</xdr:col>
      <xdr:colOff>43542</xdr:colOff>
      <xdr:row>15</xdr:row>
      <xdr:rowOff>76200</xdr:rowOff>
    </xdr:to>
    <xdr:graphicFrame macro="">
      <xdr:nvGraphicFramePr>
        <xdr:cNvPr id="2" name="Chart 1">
          <a:extLst>
            <a:ext uri="{FF2B5EF4-FFF2-40B4-BE49-F238E27FC236}">
              <a16:creationId xmlns:a16="http://schemas.microsoft.com/office/drawing/2014/main" id="{FC3FCE3A-C06F-4040-A6BC-F379A2F5D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24</xdr:col>
      <xdr:colOff>533400</xdr:colOff>
      <xdr:row>0</xdr:row>
      <xdr:rowOff>163286</xdr:rowOff>
    </xdr:from>
    <xdr:to>
      <xdr:col>29</xdr:col>
      <xdr:colOff>500743</xdr:colOff>
      <xdr:row>15</xdr:row>
      <xdr:rowOff>130629</xdr:rowOff>
    </xdr:to>
    <xdr:graphicFrame macro="">
      <xdr:nvGraphicFramePr>
        <xdr:cNvPr id="24" name="Chart 23">
          <a:extLst>
            <a:ext uri="{FF2B5EF4-FFF2-40B4-BE49-F238E27FC236}">
              <a16:creationId xmlns:a16="http://schemas.microsoft.com/office/drawing/2014/main" id="{197E21B4-307D-4B7E-8722-290B1413B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0</xdr:col>
      <xdr:colOff>87085</xdr:colOff>
      <xdr:row>0</xdr:row>
      <xdr:rowOff>54429</xdr:rowOff>
    </xdr:from>
    <xdr:ext cx="4060372" cy="342851"/>
    <xdr:sp macro="" textlink="">
      <xdr:nvSpPr>
        <xdr:cNvPr id="25" name="TextBox 24">
          <a:extLst>
            <a:ext uri="{FF2B5EF4-FFF2-40B4-BE49-F238E27FC236}">
              <a16:creationId xmlns:a16="http://schemas.microsoft.com/office/drawing/2014/main" id="{30E6F17F-A509-57D3-74CE-93365DBF5F85}"/>
            </a:ext>
          </a:extLst>
        </xdr:cNvPr>
        <xdr:cNvSpPr txBox="1"/>
      </xdr:nvSpPr>
      <xdr:spPr>
        <a:xfrm>
          <a:off x="87085" y="54429"/>
          <a:ext cx="4060372" cy="34285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rtl="0">
            <a:defRPr sz="1400" b="0" i="0" u="none" strike="noStrike" kern="1200" spc="0" baseline="0">
              <a:solidFill>
                <a:sysClr val="windowText" lastClr="000000">
                  <a:lumMod val="65000"/>
                  <a:lumOff val="35000"/>
                </a:sysClr>
              </a:solidFill>
              <a:latin typeface="+mn-lt"/>
              <a:ea typeface="+mn-ea"/>
              <a:cs typeface="+mn-cs"/>
            </a:defRPr>
          </a:pPr>
          <a:r>
            <a:rPr lang="en-US" sz="1600" b="0" i="0" u="none" strike="noStrike" kern="1200" spc="0" baseline="0">
              <a:solidFill>
                <a:srgbClr val="FF0000"/>
              </a:solidFill>
              <a:latin typeface="+mj-lt"/>
              <a:ea typeface="+mn-ea"/>
              <a:cs typeface="+mn-cs"/>
            </a:rPr>
            <a:t>CALL CENTRE SUMMARY</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5</xdr:col>
      <xdr:colOff>231913</xdr:colOff>
      <xdr:row>2</xdr:row>
      <xdr:rowOff>125896</xdr:rowOff>
    </xdr:from>
    <xdr:to>
      <xdr:col>5</xdr:col>
      <xdr:colOff>972577</xdr:colOff>
      <xdr:row>2</xdr:row>
      <xdr:rowOff>602754</xdr:rowOff>
    </xdr:to>
    <xdr:pic>
      <xdr:nvPicPr>
        <xdr:cNvPr id="10" name="Picture 9" descr="Smiling woman holding file folder at the office">
          <a:extLst>
            <a:ext uri="{FF2B5EF4-FFF2-40B4-BE49-F238E27FC236}">
              <a16:creationId xmlns:a16="http://schemas.microsoft.com/office/drawing/2014/main" id="{DE4DF99C-0E9D-402C-97B3-93F80B43A0F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7856"/>
        <a:stretch>
          <a:fillRect/>
        </a:stretch>
      </xdr:blipFill>
      <xdr:spPr>
        <a:xfrm>
          <a:off x="3737113" y="1113183"/>
          <a:ext cx="740664" cy="476858"/>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5</xdr:col>
      <xdr:colOff>218661</xdr:colOff>
      <xdr:row>3</xdr:row>
      <xdr:rowOff>106017</xdr:rowOff>
    </xdr:from>
    <xdr:to>
      <xdr:col>5</xdr:col>
      <xdr:colOff>959325</xdr:colOff>
      <xdr:row>3</xdr:row>
      <xdr:rowOff>669096</xdr:rowOff>
    </xdr:to>
    <xdr:pic>
      <xdr:nvPicPr>
        <xdr:cNvPr id="12" name="Picture 11" descr="Teenager working on electronic project">
          <a:extLst>
            <a:ext uri="{FF2B5EF4-FFF2-40B4-BE49-F238E27FC236}">
              <a16:creationId xmlns:a16="http://schemas.microsoft.com/office/drawing/2014/main" id="{56EC054A-36D3-E8C0-E6C5-B317F193362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23861" y="1822174"/>
          <a:ext cx="740664" cy="563079"/>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5</xdr:col>
      <xdr:colOff>258417</xdr:colOff>
      <xdr:row>4</xdr:row>
      <xdr:rowOff>172053</xdr:rowOff>
    </xdr:from>
    <xdr:to>
      <xdr:col>5</xdr:col>
      <xdr:colOff>999081</xdr:colOff>
      <xdr:row>4</xdr:row>
      <xdr:rowOff>714316</xdr:rowOff>
    </xdr:to>
    <xdr:pic>
      <xdr:nvPicPr>
        <xdr:cNvPr id="14" name="Picture 13" descr="Smiling businesswoman with digital tablet looking out office window">
          <a:extLst>
            <a:ext uri="{FF2B5EF4-FFF2-40B4-BE49-F238E27FC236}">
              <a16:creationId xmlns:a16="http://schemas.microsoft.com/office/drawing/2014/main" id="{CC88539E-2D25-B439-7BCE-6DC4EAD0DA6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763617" y="2749601"/>
          <a:ext cx="740664" cy="542263"/>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5</xdr:col>
      <xdr:colOff>183134</xdr:colOff>
      <xdr:row>5</xdr:row>
      <xdr:rowOff>123245</xdr:rowOff>
    </xdr:from>
    <xdr:to>
      <xdr:col>5</xdr:col>
      <xdr:colOff>927652</xdr:colOff>
      <xdr:row>6</xdr:row>
      <xdr:rowOff>0</xdr:rowOff>
    </xdr:to>
    <xdr:pic>
      <xdr:nvPicPr>
        <xdr:cNvPr id="16" name="Picture 15" descr="Woman leaning against white wall smiling">
          <a:extLst>
            <a:ext uri="{FF2B5EF4-FFF2-40B4-BE49-F238E27FC236}">
              <a16:creationId xmlns:a16="http://schemas.microsoft.com/office/drawing/2014/main" id="{3196394A-A9A4-76B1-79A4-BC7C83544904}"/>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2166"/>
        <a:stretch>
          <a:fillRect/>
        </a:stretch>
      </xdr:blipFill>
      <xdr:spPr>
        <a:xfrm>
          <a:off x="3688334" y="3522428"/>
          <a:ext cx="744518" cy="731520"/>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5</xdr:col>
      <xdr:colOff>205409</xdr:colOff>
      <xdr:row>6</xdr:row>
      <xdr:rowOff>141746</xdr:rowOff>
    </xdr:from>
    <xdr:to>
      <xdr:col>5</xdr:col>
      <xdr:colOff>946073</xdr:colOff>
      <xdr:row>6</xdr:row>
      <xdr:rowOff>748748</xdr:rowOff>
    </xdr:to>
    <xdr:pic>
      <xdr:nvPicPr>
        <xdr:cNvPr id="18" name="Picture 17" descr="A man wearing a mask">
          <a:extLst>
            <a:ext uri="{FF2B5EF4-FFF2-40B4-BE49-F238E27FC236}">
              <a16:creationId xmlns:a16="http://schemas.microsoft.com/office/drawing/2014/main" id="{5C85BC78-2547-3371-B843-21A23B66807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710609" y="4395694"/>
          <a:ext cx="740664" cy="607002"/>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69.764589004626" backgroundQuery="1" createdVersion="8" refreshedVersion="8" minRefreshableVersion="3" recordCount="0" supportSubquery="1" supportAdvancedDrill="1" xr:uid="{98639EF8-F4C3-4D59-B5BA-3C0846591577}">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AVERAGE RATING]" caption="AVERAGE RATING" measure="1" displayFolder="" measureGroup="calls" count="0"/>
    <cacheHierarchy uniqueName="[Measures].[Happy Customer]" caption="Happy Customer" measure="1" displayFolder="" measureGroup="calls" count="0"/>
    <cacheHierarchy uniqueName="[Measures].[TOTAL DURATION]" caption="TOTAL DURATION"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69.515031365743" backgroundQuery="1" createdVersion="8" refreshedVersion="8" minRefreshableVersion="3" recordCount="0" supportSubquery="1" supportAdvancedDrill="1" xr:uid="{B0EC720E-D97C-4F78-BD61-637F5B178162}">
  <cacheSource type="external" connectionId="1"/>
  <cacheFields count="5">
    <cacheField name="[Measures].[Call count]" caption="Call count" numFmtId="0" hierarchy="17" level="32767"/>
    <cacheField name="[Measures].[Total Amount]" caption="Total Amount" numFmtId="0" hierarchy="18" level="32767"/>
    <cacheField name="[Measures].[AVERAGE RATING]" caption="AVERAGE RATING" numFmtId="0" hierarchy="19" level="32767"/>
    <cacheField name="[Measures].[Happy Customer]" caption="Happy Customer" numFmtId="0" hierarchy="20" level="32767"/>
    <cacheField name="[Measures].[TOTAL DURATION]" caption="TOTAL DURATION"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AVERAGE RATING]" caption="AVERAGE RATING" measure="1" displayFolder="" measureGroup="calls" count="0" oneField="1">
      <fieldsUsage count="1">
        <fieldUsage x="2"/>
      </fieldsUsage>
    </cacheHierarchy>
    <cacheHierarchy uniqueName="[Measures].[Happy Customer]" caption="Happy Customer" measure="1" displayFolder="" measureGroup="calls" count="0" oneField="1">
      <fieldsUsage count="1">
        <fieldUsage x="3"/>
      </fieldsUsage>
    </cacheHierarchy>
    <cacheHierarchy uniqueName="[Measures].[TOTAL DURATION]" caption="TOTAL DURATION"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69.561103472224" backgroundQuery="1" createdVersion="8" refreshedVersion="8" minRefreshableVersion="3" recordCount="0" supportSubquery="1" supportAdvancedDrill="1" xr:uid="{9ACDB380-FD29-47DD-9FA4-4634C04531FB}">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AVERAGE RATING]" caption="AVERAGE RATING" measure="1" displayFolder="" measureGroup="calls" count="0"/>
    <cacheHierarchy uniqueName="[Measures].[Happy Customer]" caption="Happy Customer" measure="1" displayFolder="" measureGroup="calls" count="0"/>
    <cacheHierarchy uniqueName="[Measures].[TOTAL DURATION]" caption="TOTAL DURATION"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69.784417824078" backgroundQuery="1" createdVersion="8" refreshedVersion="8" minRefreshableVersion="3" recordCount="0" supportSubquery="1" supportAdvancedDrill="1" xr:uid="{A77314B4-37A9-41DD-9EE5-A775B9C12089}">
  <cacheSource type="external" connectionId="1"/>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AVERAGE RATING]" caption="AVERAGE RATING" measure="1" displayFolder="" measureGroup="calls" count="0"/>
    <cacheHierarchy uniqueName="[Measures].[Happy Customer]" caption="Happy Customer" measure="1" displayFolder="" measureGroup="calls" count="0"/>
    <cacheHierarchy uniqueName="[Measures].[TOTAL DURATION]" caption="TOTAL DURATION"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69.80590428241" backgroundQuery="1" createdVersion="8" refreshedVersion="8" minRefreshableVersion="3" recordCount="0" supportSubquery="1" supportAdvancedDrill="1" xr:uid="{83556861-1F2E-4806-9343-9046AAFD19D7}">
  <cacheSource type="external" connectionId="1"/>
  <cacheFields count="6">
    <cacheField name="[Measures].[Call count]" caption="Call count" numFmtId="0" hierarchy="17" level="32767"/>
    <cacheField name="[Measures].[Total Amount]" caption="Total Amount" numFmtId="0" hierarchy="18" level="32767"/>
    <cacheField name="[Measures].[AVERAGE RATING]" caption="AVERAGE RATING" numFmtId="0" hierarchy="19" level="32767"/>
    <cacheField name="[Measures].[Happy Customer]" caption="Happy Customer" numFmtId="0" hierarchy="20" level="32767"/>
    <cacheField name="[Measures].[TOTAL DURATION]" caption="TOTAL DURATION"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AVERAGE RATING]" caption="AVERAGE RATING" measure="1" displayFolder="" measureGroup="calls" count="0" oneField="1">
      <fieldsUsage count="1">
        <fieldUsage x="2"/>
      </fieldsUsage>
    </cacheHierarchy>
    <cacheHierarchy uniqueName="[Measures].[Happy Customer]" caption="Happy Customer" measure="1" displayFolder="" measureGroup="calls" count="0" oneField="1">
      <fieldsUsage count="1">
        <fieldUsage x="3"/>
      </fieldsUsage>
    </cacheHierarchy>
    <cacheHierarchy uniqueName="[Measures].[TOTAL DURATION]" caption="TOTAL DURATION"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69.80590486111" backgroundQuery="1" createdVersion="8" refreshedVersion="8" minRefreshableVersion="3" recordCount="0" supportSubquery="1" supportAdvancedDrill="1" xr:uid="{967B4CB0-25A6-489B-909D-1088452B51A9}">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3T00:00:00" maxDate="2023-12-31T00:00:00" count="147">
        <d v="2023-01-03T00:00:00"/>
        <d v="2023-01-07T00:00:00"/>
        <d v="2023-01-08T00:00:00"/>
        <d v="2023-01-10T00:00:00"/>
        <d v="2023-01-17T00:00:00"/>
        <d v="2023-01-21T00:00:00"/>
        <d v="2023-01-24T00:00:00"/>
        <d v="2023-01-25T00:00:00"/>
        <d v="2023-01-27T00:00:00"/>
        <d v="2023-02-01T00:00:00"/>
        <d v="2023-02-07T00:00:00"/>
        <d v="2023-02-11T00:00:00"/>
        <d v="2023-02-13T00:00:00"/>
        <d v="2023-02-14T00:00:00"/>
        <d v="2023-02-15T00:00:00"/>
        <d v="2023-02-21T00:00:00"/>
        <d v="2023-02-23T00:00:00"/>
        <d v="2023-02-26T00:00:00"/>
        <d v="2023-02-28T00:00:00"/>
        <d v="2023-03-01T00:00:00"/>
        <d v="2023-03-02T00:00:00"/>
        <d v="2023-03-04T00:00:00"/>
        <d v="2023-03-06T00:00:00"/>
        <d v="2023-03-07T00:00:00"/>
        <d v="2023-03-10T00:00:00"/>
        <d v="2023-03-11T00:00:00"/>
        <d v="2023-03-12T00:00:00"/>
        <d v="2023-03-13T00:00:00"/>
        <d v="2023-03-14T00:00:00"/>
        <d v="2023-03-15T00:00:00"/>
        <d v="2023-03-16T00:00:00"/>
        <d v="2023-03-18T00:00:00"/>
        <d v="2023-03-21T00:00:00"/>
        <d v="2023-03-22T00:00:00"/>
        <d v="2023-03-23T00:00:00"/>
        <d v="2023-03-24T00:00:00"/>
        <d v="2023-03-26T00:00:00"/>
        <d v="2023-03-27T00:00:00"/>
        <d v="2023-03-29T00:00:00"/>
        <d v="2023-04-03T00:00:00"/>
        <d v="2023-04-07T00:00:00"/>
        <d v="2023-04-08T00:00:00"/>
        <d v="2023-04-09T00:00:00"/>
        <d v="2023-04-10T00:00:00"/>
        <d v="2023-04-11T00:00:00"/>
        <d v="2023-04-14T00:00:00"/>
        <d v="2023-04-16T00:00:00"/>
        <d v="2023-04-17T00:00:00"/>
        <d v="2023-04-21T00:00:00"/>
        <d v="2023-04-22T00:00:00"/>
        <d v="2023-04-23T00:00:00"/>
        <d v="2023-04-24T00:00:00"/>
        <d v="2023-04-27T00:00:00"/>
        <d v="2023-04-28T00:00:00"/>
        <d v="2023-04-29T00:00:00"/>
        <d v="2023-04-30T00:00:00"/>
        <d v="2023-05-02T00:00:00"/>
        <d v="2023-05-03T00:00:00"/>
        <d v="2023-05-06T00:00:00"/>
        <d v="2023-05-07T00:00:00"/>
        <d v="2023-05-10T00:00:00"/>
        <d v="2023-05-12T00:00:00"/>
        <d v="2023-05-14T00:00:00"/>
        <d v="2023-05-15T00:00:00"/>
        <d v="2023-05-16T00:00:00"/>
        <d v="2023-05-17T00:00:00"/>
        <d v="2023-05-22T00:00:00"/>
        <d v="2023-05-23T00:00:00"/>
        <d v="2023-05-25T00:00:00"/>
        <d v="2023-05-27T00:00:00"/>
        <d v="2023-05-29T00:00:00"/>
        <d v="2023-06-11T00:00:00"/>
        <d v="2023-06-15T00:00:00"/>
        <d v="2023-06-17T00:00:00"/>
        <d v="2023-06-18T00:00:00"/>
        <d v="2023-06-20T00:00:00"/>
        <d v="2023-06-24T00:00:00"/>
        <d v="2023-06-27T00:00:00"/>
        <d v="2023-06-29T00:00:00"/>
        <d v="2023-06-30T00:00:00"/>
        <d v="2023-07-01T00:00:00"/>
        <d v="2023-07-02T00:00:00"/>
        <d v="2023-07-05T00:00:00"/>
        <d v="2023-07-07T00:00:00"/>
        <d v="2023-07-08T00:00:00"/>
        <d v="2023-07-12T00:00:00"/>
        <d v="2023-07-15T00:00:00"/>
        <d v="2023-07-17T00:00:00"/>
        <d v="2023-07-18T00:00:00"/>
        <d v="2023-07-20T00:00:00"/>
        <d v="2023-07-21T00:00:00"/>
        <d v="2023-07-28T00:00:00"/>
        <d v="2023-07-29T00:00:00"/>
        <d v="2023-07-31T00:00:00"/>
        <d v="2023-08-04T00:00:00"/>
        <d v="2023-08-06T00:00:00"/>
        <d v="2023-08-13T00:00:00"/>
        <d v="2023-08-18T00:00:00"/>
        <d v="2023-08-19T00:00:00"/>
        <d v="2023-08-21T00:00:00"/>
        <d v="2023-08-23T00:00:00"/>
        <d v="2023-08-25T00:00:00"/>
        <d v="2023-08-26T00:00:00"/>
        <d v="2023-08-27T00:00:00"/>
        <d v="2023-09-01T00:00:00"/>
        <d v="2023-09-04T00:00:00"/>
        <d v="2023-09-06T00:00:00"/>
        <d v="2023-09-09T00:00:00"/>
        <d v="2023-09-24T00:00:00"/>
        <d v="2023-09-27T00:00:00"/>
        <d v="2023-09-28T00:00:00"/>
        <d v="2023-09-29T00:00:00"/>
        <d v="2023-09-30T00:00:00"/>
        <d v="2023-10-01T00:00:00"/>
        <d v="2023-10-03T00:00:00"/>
        <d v="2023-10-04T00:00:00"/>
        <d v="2023-10-05T00:00:00"/>
        <d v="2023-10-06T00:00:00"/>
        <d v="2023-10-10T00:00:00"/>
        <d v="2023-10-11T00:00:00"/>
        <d v="2023-10-12T00:00:00"/>
        <d v="2023-10-16T00:00:00"/>
        <d v="2023-10-19T00:00:00"/>
        <d v="2023-10-20T00:00:00"/>
        <d v="2023-10-22T00:00:00"/>
        <d v="2023-10-23T00:00:00"/>
        <d v="2023-10-28T00:00:00"/>
        <d v="2023-11-01T00:00:00"/>
        <d v="2023-11-02T00:00:00"/>
        <d v="2023-11-07T00:00:00"/>
        <d v="2023-11-09T00:00:00"/>
        <d v="2023-11-10T00:00:00"/>
        <d v="2023-11-11T00:00:00"/>
        <d v="2023-11-24T00:00:00"/>
        <d v="2023-11-26T00:00:00"/>
        <d v="2023-12-01T00:00:00"/>
        <d v="2023-12-05T00:00:00"/>
        <d v="2023-12-07T00:00:00"/>
        <d v="2023-12-14T00:00:00"/>
        <d v="2023-12-15T00:00:00"/>
        <d v="2023-12-16T00:00:00"/>
        <d v="2023-12-17T00:00:00"/>
        <d v="2023-12-20T00:00:00"/>
        <d v="2023-12-24T00:00:00"/>
        <d v="2023-12-27T00:00:00"/>
        <d v="2023-12-29T00:00:00"/>
        <d v="2023-12-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AVERAGE RATING]" caption="AVERAGE RATING" measure="1" displayFolder="" measureGroup="calls" count="0"/>
    <cacheHierarchy uniqueName="[Measures].[Happy Customer]" caption="Happy Customer" measure="1" displayFolder="" measureGroup="calls" count="0"/>
    <cacheHierarchy uniqueName="[Measures].[TOTAL DURATION]" caption="TOTAL DURATION"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69.805905555557" backgroundQuery="1" createdVersion="8" refreshedVersion="8" minRefreshableVersion="3" recordCount="0" supportSubquery="1" supportAdvancedDrill="1" xr:uid="{BEFD1F50-EF0D-4243-810A-65E5129C96E5}">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AVERAGE RATING]" caption="AVERAGE RATING" measure="1" displayFolder="" measureGroup="calls" count="0"/>
    <cacheHierarchy uniqueName="[Measures].[Happy Customer]" caption="Happy Customer" measure="1" displayFolder="" measureGroup="calls" count="0"/>
    <cacheHierarchy uniqueName="[Measures].[TOTAL DURATION]" caption="TOTAL DURATION"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69.805906134257" backgroundQuery="1" createdVersion="8" refreshedVersion="8" minRefreshableVersion="3" recordCount="0" supportSubquery="1" supportAdvancedDrill="1" xr:uid="{5B26359F-AC8C-4302-9F23-9A1F187A9094}">
  <cacheSource type="external" connectionId="1"/>
  <cacheFields count="1">
    <cacheField name="[calls].[Representative].[Representative]" caption="Representative" numFmtId="0" hierarchy="3" level="1">
      <sharedItems count="1">
        <s v="R01"/>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AVERAGE RATING]" caption="AVERAGE RATING" measure="1" displayFolder="" measureGroup="calls" count="0"/>
    <cacheHierarchy uniqueName="[Measures].[Happy Customer]" caption="Happy Customer" measure="1" displayFolder="" measureGroup="calls" count="0"/>
    <cacheHierarchy uniqueName="[Measures].[TOTAL DURATION]" caption="TOTAL DURATION"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69.805906828704" backgroundQuery="1" createdVersion="8" refreshedVersion="8" minRefreshableVersion="3" recordCount="0" supportSubquery="1" supportAdvancedDrill="1" xr:uid="{1D1E0519-6DC8-4658-A6E8-E10C294FAB8E}">
  <cacheSource type="external" connectionId="1"/>
  <cacheFields count="3">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AVERAGE RATING]" caption="AVERAGE RATING" measure="1" displayFolder="" measureGroup="calls" count="0"/>
    <cacheHierarchy uniqueName="[Measures].[Happy Customer]" caption="Happy Customer" measure="1" displayFolder="" measureGroup="calls" count="0"/>
    <cacheHierarchy uniqueName="[Measures].[TOTAL DURATION]" caption="TOTAL DURATION"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69.515032291667" backgroundQuery="1" createdVersion="3" refreshedVersion="8" minRefreshableVersion="3" recordCount="0" supportSubquery="1" supportAdvancedDrill="1" xr:uid="{0497F410-55F8-4187-98E4-4AC5242C1C6F}">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AVERAGE RATING]" caption="AVERAGE RATING" measure="1" displayFolder="" measureGroup="calls" count="0"/>
    <cacheHierarchy uniqueName="[Measures].[Happy Customer]" caption="Happy Customer" measure="1" displayFolder="" measureGroup="calls" count="0"/>
    <cacheHierarchy uniqueName="[Measures].[TOTAL DURATION]" caption="TOTAL DURATION"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517368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7DC7BC-CCFE-4CFA-8123-3D1BE754075E}" name="monthly trend"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18:C31"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1"/>
          </reference>
        </references>
      </pivotArea>
    </chartFormat>
    <chartFormat chart="13" format="9" series="1">
      <pivotArea type="data" outline="0" fieldPosition="0">
        <references count="1">
          <reference field="4294967294" count="1" selected="0">
            <x v="0"/>
          </reference>
        </references>
      </pivotArea>
    </chartFormat>
    <chartFormat chart="17" format="12" series="1">
      <pivotArea type="data" outline="0" fieldPosition="0">
        <references count="1">
          <reference field="4294967294" count="1" selected="0">
            <x v="1"/>
          </reference>
        </references>
      </pivotArea>
    </chartFormat>
    <chartFormat chart="17" format="13"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7B118B-BD6A-4C1B-88BD-99F22C45C4B1}" name="REP TABLE"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3:E1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A5A514-D19B-4E40-9647-DA65BAEFB985}" name="Rep amount"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64:G83"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efaultSubtotal="0" defaultAttributeDrillState="1">
      <items count="5">
        <item x="0"/>
        <item x="1"/>
        <item x="2"/>
        <item x="3"/>
        <item x="4"/>
      </items>
    </pivotField>
    <pivotField dataField="1" subtotalTop="0" showAll="0" defaultSubtotal="0"/>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fld="3"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734359-E876-4DF7-B649-5B2F0D8CFA7C}" name="Rep Rating"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57:B63"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560949-AB7C-4CBC-B824-291C81B6F15E}" name="Summary Tabl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458F56-F60B-49A8-9352-EA056F9582D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8:D53"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5">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3" format="6">
      <pivotArea type="data" outline="0" fieldPosition="0">
        <references count="3">
          <reference field="4294967294" count="1" selected="0">
            <x v="0"/>
          </reference>
          <reference field="0" count="1" selected="0">
            <x v="0"/>
          </reference>
          <reference field="1" count="1" selected="0">
            <x v="0"/>
          </reference>
        </references>
      </pivotArea>
    </chartFormat>
    <chartFormat chart="3" format="7">
      <pivotArea type="data" outline="0" fieldPosition="0">
        <references count="3">
          <reference field="4294967294" count="1" selected="0">
            <x v="0"/>
          </reference>
          <reference field="0" count="1" selected="0">
            <x v="1"/>
          </reference>
          <reference field="1" count="1" selected="0">
            <x v="0"/>
          </reference>
        </references>
      </pivotArea>
    </chartFormat>
    <chartFormat chart="3" format="8">
      <pivotArea type="data" outline="0" fieldPosition="0">
        <references count="3">
          <reference field="4294967294" count="1" selected="0">
            <x v="0"/>
          </reference>
          <reference field="0" count="1" selected="0">
            <x v="2"/>
          </reference>
          <reference field="1"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5291D9-29B5-4C6F-9AE2-DBA769634B6A}" name="Selected rep" cacheId="7"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A44:A45"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5">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EB640B-F3A9-444F-9F3B-8B43AC32D065}"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C40"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012929-12BD-41E4-9E34-F16E15859096}" name="day trend"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G18:H26"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25"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C6A33250-6F36-488C-8FB3-795DFAC6029F}" sourceName="[calls].[Representative]">
  <pivotTables>
    <pivotTable tabId="6" name="REP TABLE"/>
    <pivotTable tabId="6" name="monthly trend"/>
    <pivotTable tabId="6" name="day trend"/>
    <pivotTable tabId="6" name="Selected rep"/>
    <pivotTable tabId="6" name="Rep Rating"/>
  </pivotTables>
  <data>
    <olap pivotCacheId="251736892">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79497149-C1D4-4A08-932B-FD680B946BF4}" cache="Slicer_Representative" caption="Representativ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19FF9E6E-4D09-428D-B618-09848EDD6A8D}" cache="Slicer_Representative" caption="Representative"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dn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E3DB1-4E96-4D24-A906-FAAAEE4ED078}">
  <dimension ref="A3:K83"/>
  <sheetViews>
    <sheetView topLeftCell="A58" workbookViewId="0">
      <selection activeCell="D60" sqref="D60"/>
    </sheetView>
  </sheetViews>
  <sheetFormatPr defaultRowHeight="14.4" x14ac:dyDescent="0.3"/>
  <cols>
    <col min="1" max="1" width="12.19921875" bestFit="1" customWidth="1"/>
    <col min="2" max="2" width="9.19921875" bestFit="1" customWidth="1"/>
    <col min="3" max="3" width="10.19921875" bestFit="1" customWidth="1"/>
    <col min="4" max="4" width="14.8984375" bestFit="1" customWidth="1"/>
    <col min="5" max="5" width="15.296875" bestFit="1" customWidth="1"/>
    <col min="6" max="6" width="6.3984375" bestFit="1" customWidth="1"/>
    <col min="7" max="7" width="12.19921875" bestFit="1" customWidth="1"/>
    <col min="8" max="8" width="9.19921875" bestFit="1" customWidth="1"/>
    <col min="9" max="9" width="10.19921875" bestFit="1" customWidth="1"/>
  </cols>
  <sheetData>
    <row r="3" spans="1:5" x14ac:dyDescent="0.3">
      <c r="A3" t="s">
        <v>1042</v>
      </c>
      <c r="B3" t="s">
        <v>1043</v>
      </c>
      <c r="C3" t="s">
        <v>1044</v>
      </c>
      <c r="D3" t="s">
        <v>1045</v>
      </c>
      <c r="E3" t="s">
        <v>1046</v>
      </c>
    </row>
    <row r="4" spans="1:5" x14ac:dyDescent="0.3">
      <c r="A4" s="22">
        <v>1000</v>
      </c>
      <c r="B4" s="23">
        <v>96623</v>
      </c>
      <c r="C4" s="24">
        <v>3.8854000000000033</v>
      </c>
      <c r="D4">
        <v>307</v>
      </c>
      <c r="E4">
        <v>89850</v>
      </c>
    </row>
    <row r="13" spans="1:5" x14ac:dyDescent="0.3">
      <c r="A13" t="s">
        <v>1042</v>
      </c>
      <c r="B13" t="s">
        <v>1043</v>
      </c>
      <c r="C13" t="s">
        <v>1044</v>
      </c>
      <c r="D13" t="s">
        <v>1045</v>
      </c>
      <c r="E13" t="s">
        <v>1046</v>
      </c>
    </row>
    <row r="14" spans="1:5" x14ac:dyDescent="0.3">
      <c r="A14" s="22">
        <v>189</v>
      </c>
      <c r="B14" s="23">
        <v>18415</v>
      </c>
      <c r="C14" s="24">
        <v>3.9227513227513247</v>
      </c>
      <c r="D14">
        <v>60</v>
      </c>
      <c r="E14">
        <v>16834</v>
      </c>
    </row>
    <row r="18" spans="1:11" x14ac:dyDescent="0.3">
      <c r="A18" s="26" t="s">
        <v>1047</v>
      </c>
      <c r="B18" t="s">
        <v>1042</v>
      </c>
      <c r="C18" t="s">
        <v>1061</v>
      </c>
      <c r="G18" s="26" t="s">
        <v>1047</v>
      </c>
      <c r="H18" t="s">
        <v>1042</v>
      </c>
    </row>
    <row r="19" spans="1:11" x14ac:dyDescent="0.3">
      <c r="A19" s="27" t="s">
        <v>1049</v>
      </c>
      <c r="B19" s="22">
        <v>16</v>
      </c>
      <c r="C19" s="22">
        <v>16</v>
      </c>
      <c r="G19" s="27" t="s">
        <v>1065</v>
      </c>
      <c r="H19" s="22">
        <v>36</v>
      </c>
    </row>
    <row r="20" spans="1:11" x14ac:dyDescent="0.3">
      <c r="A20" s="27" t="s">
        <v>1050</v>
      </c>
      <c r="B20" s="22">
        <v>14</v>
      </c>
      <c r="C20" s="22">
        <v>14</v>
      </c>
      <c r="G20" s="27" t="s">
        <v>1063</v>
      </c>
      <c r="H20" s="22">
        <v>30</v>
      </c>
    </row>
    <row r="21" spans="1:11" x14ac:dyDescent="0.3">
      <c r="A21" s="27" t="s">
        <v>1051</v>
      </c>
      <c r="B21" s="22">
        <v>26</v>
      </c>
      <c r="C21" s="22">
        <v>26</v>
      </c>
      <c r="G21" s="27" t="s">
        <v>1067</v>
      </c>
      <c r="H21" s="22">
        <v>13</v>
      </c>
    </row>
    <row r="22" spans="1:11" x14ac:dyDescent="0.3">
      <c r="A22" s="27" t="s">
        <v>1052</v>
      </c>
      <c r="B22" s="22">
        <v>29</v>
      </c>
      <c r="C22" s="22">
        <v>29</v>
      </c>
      <c r="G22" s="27" t="s">
        <v>1068</v>
      </c>
      <c r="H22" s="22">
        <v>23</v>
      </c>
    </row>
    <row r="23" spans="1:11" x14ac:dyDescent="0.3">
      <c r="A23" s="27" t="s">
        <v>1053</v>
      </c>
      <c r="B23" s="22">
        <v>17</v>
      </c>
      <c r="C23" s="22">
        <v>17</v>
      </c>
      <c r="G23" s="27" t="s">
        <v>1066</v>
      </c>
      <c r="H23" s="22">
        <v>23</v>
      </c>
    </row>
    <row r="24" spans="1:11" x14ac:dyDescent="0.3">
      <c r="A24" s="27" t="s">
        <v>1054</v>
      </c>
      <c r="B24" s="22">
        <v>15</v>
      </c>
      <c r="C24" s="22">
        <v>15</v>
      </c>
      <c r="G24" s="27" t="s">
        <v>1062</v>
      </c>
      <c r="H24" s="22">
        <v>24</v>
      </c>
    </row>
    <row r="25" spans="1:11" x14ac:dyDescent="0.3">
      <c r="A25" s="27" t="s">
        <v>1055</v>
      </c>
      <c r="B25" s="22">
        <v>15</v>
      </c>
      <c r="C25" s="22">
        <v>15</v>
      </c>
      <c r="G25" s="27" t="s">
        <v>1064</v>
      </c>
      <c r="H25" s="22">
        <v>40</v>
      </c>
    </row>
    <row r="26" spans="1:11" x14ac:dyDescent="0.3">
      <c r="A26" s="27" t="s">
        <v>1056</v>
      </c>
      <c r="B26" s="22">
        <v>7</v>
      </c>
      <c r="C26" s="22">
        <v>7</v>
      </c>
      <c r="G26" s="27" t="s">
        <v>1048</v>
      </c>
      <c r="H26" s="22">
        <v>189</v>
      </c>
    </row>
    <row r="27" spans="1:11" x14ac:dyDescent="0.3">
      <c r="A27" s="27" t="s">
        <v>1057</v>
      </c>
      <c r="B27" s="22">
        <v>11</v>
      </c>
      <c r="C27" s="22">
        <v>11</v>
      </c>
    </row>
    <row r="28" spans="1:11" x14ac:dyDescent="0.3">
      <c r="A28" s="27" t="s">
        <v>1058</v>
      </c>
      <c r="B28" s="22">
        <v>24</v>
      </c>
      <c r="C28" s="22">
        <v>24</v>
      </c>
      <c r="G28" t="s">
        <v>1069</v>
      </c>
      <c r="J28" t="s">
        <v>1073</v>
      </c>
      <c r="K28" t="str">
        <f>A45</f>
        <v>R01</v>
      </c>
    </row>
    <row r="29" spans="1:11" x14ac:dyDescent="0.3">
      <c r="A29" s="27" t="s">
        <v>1059</v>
      </c>
      <c r="B29" s="22">
        <v>9</v>
      </c>
      <c r="C29" s="22">
        <v>9</v>
      </c>
    </row>
    <row r="30" spans="1:11" x14ac:dyDescent="0.3">
      <c r="A30" s="27" t="s">
        <v>1060</v>
      </c>
      <c r="B30" s="22">
        <v>6</v>
      </c>
      <c r="C30" s="22">
        <v>6</v>
      </c>
      <c r="G30" t="s">
        <v>1070</v>
      </c>
      <c r="H30" t="s">
        <v>1071</v>
      </c>
      <c r="I30" t="s">
        <v>1072</v>
      </c>
      <c r="J30" t="s">
        <v>1074</v>
      </c>
      <c r="K30" t="s">
        <v>1075</v>
      </c>
    </row>
    <row r="31" spans="1:11" x14ac:dyDescent="0.3">
      <c r="A31" s="27" t="s">
        <v>1048</v>
      </c>
      <c r="B31" s="22">
        <v>189</v>
      </c>
      <c r="C31" s="22">
        <v>189</v>
      </c>
      <c r="G31" t="str" cm="1">
        <f t="array" ref="G31:I35">A35:C39</f>
        <v>R01</v>
      </c>
      <c r="H31">
        <v>189</v>
      </c>
      <c r="I31" s="29">
        <v>18415</v>
      </c>
      <c r="J31">
        <f>IF(G31=$K$28,H31,NA())</f>
        <v>189</v>
      </c>
      <c r="K31">
        <f>IF(G31=$K$28,I31,NA())</f>
        <v>18415</v>
      </c>
    </row>
    <row r="32" spans="1:11" x14ac:dyDescent="0.3">
      <c r="G32" t="str">
        <v>R02</v>
      </c>
      <c r="H32">
        <v>218</v>
      </c>
      <c r="I32" s="29">
        <v>20581</v>
      </c>
      <c r="J32" t="e">
        <f t="shared" ref="J32:J35" si="0">IF(G32=$K$28,H32,NA())</f>
        <v>#N/A</v>
      </c>
      <c r="K32" t="e">
        <f t="shared" ref="K32:K35" si="1">IF(G32=$K$28,I32,NA())</f>
        <v>#N/A</v>
      </c>
    </row>
    <row r="33" spans="1:11" x14ac:dyDescent="0.3">
      <c r="G33" t="str">
        <v>R03</v>
      </c>
      <c r="H33">
        <v>207</v>
      </c>
      <c r="I33" s="29">
        <v>20872</v>
      </c>
      <c r="J33" t="e">
        <f t="shared" si="0"/>
        <v>#N/A</v>
      </c>
      <c r="K33" t="e">
        <f t="shared" si="1"/>
        <v>#N/A</v>
      </c>
    </row>
    <row r="34" spans="1:11" x14ac:dyDescent="0.3">
      <c r="A34" s="26" t="s">
        <v>1047</v>
      </c>
      <c r="B34" t="s">
        <v>1042</v>
      </c>
      <c r="C34" t="s">
        <v>1043</v>
      </c>
      <c r="G34" t="str">
        <v>R04</v>
      </c>
      <c r="H34">
        <v>186</v>
      </c>
      <c r="I34" s="29">
        <v>16651</v>
      </c>
      <c r="J34" t="e">
        <f t="shared" si="0"/>
        <v>#N/A</v>
      </c>
      <c r="K34" t="e">
        <f t="shared" si="1"/>
        <v>#N/A</v>
      </c>
    </row>
    <row r="35" spans="1:11" x14ac:dyDescent="0.3">
      <c r="A35" s="27" t="s">
        <v>11</v>
      </c>
      <c r="B35" s="22">
        <v>189</v>
      </c>
      <c r="C35" s="23">
        <v>18415</v>
      </c>
      <c r="G35" t="str">
        <v>R05</v>
      </c>
      <c r="H35">
        <v>200</v>
      </c>
      <c r="I35" s="29">
        <v>20104</v>
      </c>
      <c r="J35" t="e">
        <f t="shared" si="0"/>
        <v>#N/A</v>
      </c>
      <c r="K35" t="e">
        <f t="shared" si="1"/>
        <v>#N/A</v>
      </c>
    </row>
    <row r="36" spans="1:11" x14ac:dyDescent="0.3">
      <c r="A36" s="27" t="s">
        <v>9</v>
      </c>
      <c r="B36" s="22">
        <v>218</v>
      </c>
      <c r="C36" s="23">
        <v>20581</v>
      </c>
    </row>
    <row r="37" spans="1:11" x14ac:dyDescent="0.3">
      <c r="A37" s="27" t="s">
        <v>6</v>
      </c>
      <c r="B37" s="22">
        <v>207</v>
      </c>
      <c r="C37" s="23">
        <v>20872</v>
      </c>
    </row>
    <row r="38" spans="1:11" x14ac:dyDescent="0.3">
      <c r="A38" s="27" t="s">
        <v>13</v>
      </c>
      <c r="B38" s="22">
        <v>186</v>
      </c>
      <c r="C38" s="23">
        <v>16651</v>
      </c>
    </row>
    <row r="39" spans="1:11" x14ac:dyDescent="0.3">
      <c r="A39" s="27" t="s">
        <v>10</v>
      </c>
      <c r="B39" s="22">
        <v>200</v>
      </c>
      <c r="C39" s="23">
        <v>20104</v>
      </c>
    </row>
    <row r="40" spans="1:11" x14ac:dyDescent="0.3">
      <c r="A40" s="27" t="s">
        <v>1048</v>
      </c>
      <c r="B40" s="22">
        <v>1000</v>
      </c>
      <c r="C40" s="23">
        <v>96623</v>
      </c>
    </row>
    <row r="44" spans="1:11" x14ac:dyDescent="0.3">
      <c r="A44" s="26" t="s">
        <v>1047</v>
      </c>
    </row>
    <row r="45" spans="1:11" x14ac:dyDescent="0.3">
      <c r="A45" s="28" t="s">
        <v>11</v>
      </c>
    </row>
    <row r="48" spans="1:11" x14ac:dyDescent="0.3">
      <c r="A48" s="26" t="s">
        <v>1042</v>
      </c>
      <c r="B48" s="26" t="s">
        <v>1076</v>
      </c>
    </row>
    <row r="49" spans="1:4" x14ac:dyDescent="0.3">
      <c r="A49" s="26" t="s">
        <v>1047</v>
      </c>
      <c r="B49" t="s">
        <v>999</v>
      </c>
      <c r="C49" t="s">
        <v>998</v>
      </c>
      <c r="D49" t="s">
        <v>1048</v>
      </c>
    </row>
    <row r="50" spans="1:4" x14ac:dyDescent="0.3">
      <c r="A50" s="27" t="s">
        <v>1002</v>
      </c>
      <c r="B50" s="22">
        <v>144</v>
      </c>
      <c r="C50" s="22">
        <v>132</v>
      </c>
      <c r="D50" s="22">
        <v>276</v>
      </c>
    </row>
    <row r="51" spans="1:4" x14ac:dyDescent="0.3">
      <c r="A51" s="27" t="s">
        <v>1001</v>
      </c>
      <c r="B51" s="22">
        <v>326</v>
      </c>
      <c r="C51" s="22">
        <v>63</v>
      </c>
      <c r="D51" s="22">
        <v>389</v>
      </c>
    </row>
    <row r="52" spans="1:4" x14ac:dyDescent="0.3">
      <c r="A52" s="27" t="s">
        <v>1000</v>
      </c>
      <c r="B52" s="22">
        <v>129</v>
      </c>
      <c r="C52" s="22">
        <v>206</v>
      </c>
      <c r="D52" s="22">
        <v>335</v>
      </c>
    </row>
    <row r="53" spans="1:4" x14ac:dyDescent="0.3">
      <c r="A53" s="27" t="s">
        <v>1048</v>
      </c>
      <c r="B53" s="22">
        <v>599</v>
      </c>
      <c r="C53" s="22">
        <v>401</v>
      </c>
      <c r="D53" s="22">
        <v>1000</v>
      </c>
    </row>
    <row r="57" spans="1:4" x14ac:dyDescent="0.3">
      <c r="A57" s="26" t="s">
        <v>1047</v>
      </c>
      <c r="B57" t="s">
        <v>1042</v>
      </c>
    </row>
    <row r="58" spans="1:4" x14ac:dyDescent="0.3">
      <c r="A58" s="27">
        <v>1</v>
      </c>
      <c r="B58" s="22">
        <v>1</v>
      </c>
    </row>
    <row r="59" spans="1:4" x14ac:dyDescent="0.3">
      <c r="A59" s="27">
        <v>2</v>
      </c>
      <c r="B59" s="22">
        <v>9</v>
      </c>
    </row>
    <row r="60" spans="1:4" x14ac:dyDescent="0.3">
      <c r="A60" s="27">
        <v>3</v>
      </c>
      <c r="B60" s="22">
        <v>31</v>
      </c>
    </row>
    <row r="61" spans="1:4" x14ac:dyDescent="0.3">
      <c r="A61" s="27">
        <v>4</v>
      </c>
      <c r="B61" s="22">
        <v>88</v>
      </c>
    </row>
    <row r="62" spans="1:4" x14ac:dyDescent="0.3">
      <c r="A62" s="27">
        <v>5</v>
      </c>
      <c r="B62" s="22">
        <v>60</v>
      </c>
    </row>
    <row r="63" spans="1:4" x14ac:dyDescent="0.3">
      <c r="A63" s="27" t="s">
        <v>1048</v>
      </c>
      <c r="B63" s="22">
        <v>189</v>
      </c>
    </row>
    <row r="64" spans="1:4" x14ac:dyDescent="0.3">
      <c r="A64" s="26" t="s">
        <v>1043</v>
      </c>
      <c r="B64" s="26" t="s">
        <v>1076</v>
      </c>
    </row>
    <row r="65" spans="1:7" x14ac:dyDescent="0.3">
      <c r="A65" s="26" t="s">
        <v>1047</v>
      </c>
      <c r="B65" t="s">
        <v>11</v>
      </c>
      <c r="C65" t="s">
        <v>9</v>
      </c>
      <c r="D65" t="s">
        <v>6</v>
      </c>
      <c r="E65" t="s">
        <v>13</v>
      </c>
      <c r="F65" t="s">
        <v>10</v>
      </c>
      <c r="G65" t="s">
        <v>1048</v>
      </c>
    </row>
    <row r="66" spans="1:7" x14ac:dyDescent="0.3">
      <c r="A66" s="27" t="s">
        <v>1002</v>
      </c>
    </row>
    <row r="67" spans="1:7" x14ac:dyDescent="0.3">
      <c r="A67" s="30" t="s">
        <v>20</v>
      </c>
      <c r="B67" s="23">
        <v>891</v>
      </c>
      <c r="C67" s="23">
        <v>1332</v>
      </c>
      <c r="D67" s="23">
        <v>1282</v>
      </c>
      <c r="E67" s="23">
        <v>739</v>
      </c>
      <c r="F67" s="23">
        <v>560</v>
      </c>
      <c r="G67" s="23">
        <v>4804</v>
      </c>
    </row>
    <row r="68" spans="1:7" x14ac:dyDescent="0.3">
      <c r="A68" s="30" t="s">
        <v>12</v>
      </c>
      <c r="B68" s="23">
        <v>1991</v>
      </c>
      <c r="C68" s="23">
        <v>1886</v>
      </c>
      <c r="D68" s="23">
        <v>1206</v>
      </c>
      <c r="E68" s="23">
        <v>884</v>
      </c>
      <c r="F68" s="23">
        <v>1722</v>
      </c>
      <c r="G68" s="23">
        <v>7689</v>
      </c>
    </row>
    <row r="69" spans="1:7" x14ac:dyDescent="0.3">
      <c r="A69" s="30" t="s">
        <v>8</v>
      </c>
      <c r="B69" s="23">
        <v>1163</v>
      </c>
      <c r="C69" s="23">
        <v>1180</v>
      </c>
      <c r="D69" s="23">
        <v>1616</v>
      </c>
      <c r="E69" s="23">
        <v>1043</v>
      </c>
      <c r="F69" s="23">
        <v>1747</v>
      </c>
      <c r="G69" s="23">
        <v>6749</v>
      </c>
    </row>
    <row r="70" spans="1:7" x14ac:dyDescent="0.3">
      <c r="A70" s="30" t="s">
        <v>16</v>
      </c>
      <c r="B70" s="23">
        <v>1438</v>
      </c>
      <c r="C70" s="23">
        <v>1616</v>
      </c>
      <c r="D70" s="23">
        <v>866</v>
      </c>
      <c r="E70" s="23">
        <v>829</v>
      </c>
      <c r="F70" s="23">
        <v>2070</v>
      </c>
      <c r="G70" s="23">
        <v>6819</v>
      </c>
    </row>
    <row r="71" spans="1:7" x14ac:dyDescent="0.3">
      <c r="A71" s="27" t="s">
        <v>1001</v>
      </c>
    </row>
    <row r="72" spans="1:7" x14ac:dyDescent="0.3">
      <c r="A72" s="30" t="s">
        <v>24</v>
      </c>
      <c r="B72" s="23">
        <v>1233</v>
      </c>
      <c r="C72" s="23">
        <v>223</v>
      </c>
      <c r="D72" s="23">
        <v>1680</v>
      </c>
      <c r="E72" s="23">
        <v>990</v>
      </c>
      <c r="F72" s="23">
        <v>1508</v>
      </c>
      <c r="G72" s="23">
        <v>5634</v>
      </c>
    </row>
    <row r="73" spans="1:7" x14ac:dyDescent="0.3">
      <c r="A73" s="30" t="s">
        <v>15</v>
      </c>
      <c r="B73" s="23">
        <v>1598</v>
      </c>
      <c r="C73" s="23">
        <v>1907</v>
      </c>
      <c r="D73" s="23">
        <v>869</v>
      </c>
      <c r="E73" s="23">
        <v>1426</v>
      </c>
      <c r="F73" s="23">
        <v>1416</v>
      </c>
      <c r="G73" s="23">
        <v>7216</v>
      </c>
    </row>
    <row r="74" spans="1:7" x14ac:dyDescent="0.3">
      <c r="A74" s="30" t="s">
        <v>5</v>
      </c>
      <c r="B74" s="23">
        <v>900</v>
      </c>
      <c r="C74" s="23">
        <v>1016</v>
      </c>
      <c r="D74" s="23">
        <v>960</v>
      </c>
      <c r="E74" s="23">
        <v>940</v>
      </c>
      <c r="F74" s="23">
        <v>1193</v>
      </c>
      <c r="G74" s="23">
        <v>5009</v>
      </c>
    </row>
    <row r="75" spans="1:7" x14ac:dyDescent="0.3">
      <c r="A75" s="30" t="s">
        <v>18</v>
      </c>
      <c r="B75" s="23">
        <v>900</v>
      </c>
      <c r="C75" s="23">
        <v>1470</v>
      </c>
      <c r="D75" s="23">
        <v>1617</v>
      </c>
      <c r="E75" s="23">
        <v>1314</v>
      </c>
      <c r="F75" s="23">
        <v>941</v>
      </c>
      <c r="G75" s="23">
        <v>6242</v>
      </c>
    </row>
    <row r="76" spans="1:7" x14ac:dyDescent="0.3">
      <c r="A76" s="30" t="s">
        <v>14</v>
      </c>
      <c r="B76" s="23">
        <v>1255</v>
      </c>
      <c r="C76" s="23">
        <v>516</v>
      </c>
      <c r="D76" s="23">
        <v>1874</v>
      </c>
      <c r="E76" s="23">
        <v>1863</v>
      </c>
      <c r="F76" s="23">
        <v>1722</v>
      </c>
      <c r="G76" s="23">
        <v>7230</v>
      </c>
    </row>
    <row r="77" spans="1:7" x14ac:dyDescent="0.3">
      <c r="A77" s="30" t="s">
        <v>19</v>
      </c>
      <c r="B77" s="23">
        <v>1138</v>
      </c>
      <c r="C77" s="23">
        <v>1898</v>
      </c>
      <c r="D77" s="23">
        <v>1482</v>
      </c>
      <c r="E77" s="23">
        <v>846</v>
      </c>
      <c r="F77" s="23">
        <v>1154</v>
      </c>
      <c r="G77" s="23">
        <v>6518</v>
      </c>
    </row>
    <row r="78" spans="1:7" x14ac:dyDescent="0.3">
      <c r="A78" s="27" t="s">
        <v>1000</v>
      </c>
    </row>
    <row r="79" spans="1:7" x14ac:dyDescent="0.3">
      <c r="A79" s="30" t="s">
        <v>17</v>
      </c>
      <c r="B79" s="23">
        <v>1655</v>
      </c>
      <c r="C79" s="23">
        <v>805</v>
      </c>
      <c r="D79" s="23">
        <v>2263</v>
      </c>
      <c r="E79" s="23">
        <v>987</v>
      </c>
      <c r="F79" s="23">
        <v>1075</v>
      </c>
      <c r="G79" s="23">
        <v>6785</v>
      </c>
    </row>
    <row r="80" spans="1:7" x14ac:dyDescent="0.3">
      <c r="A80" s="30" t="s">
        <v>23</v>
      </c>
      <c r="B80" s="23">
        <v>1104</v>
      </c>
      <c r="C80" s="23">
        <v>2280</v>
      </c>
      <c r="D80" s="23">
        <v>1445</v>
      </c>
      <c r="E80" s="23">
        <v>1722</v>
      </c>
      <c r="F80" s="23">
        <v>1196</v>
      </c>
      <c r="G80" s="23">
        <v>7747</v>
      </c>
    </row>
    <row r="81" spans="1:7" x14ac:dyDescent="0.3">
      <c r="A81" s="30" t="s">
        <v>7</v>
      </c>
      <c r="B81" s="23">
        <v>372</v>
      </c>
      <c r="C81" s="23">
        <v>1818</v>
      </c>
      <c r="D81" s="23">
        <v>1346</v>
      </c>
      <c r="E81" s="23">
        <v>1156</v>
      </c>
      <c r="F81" s="23">
        <v>1484</v>
      </c>
      <c r="G81" s="23">
        <v>6176</v>
      </c>
    </row>
    <row r="82" spans="1:7" x14ac:dyDescent="0.3">
      <c r="A82" s="30" t="s">
        <v>22</v>
      </c>
      <c r="B82" s="23">
        <v>1415</v>
      </c>
      <c r="C82" s="23">
        <v>1271</v>
      </c>
      <c r="D82" s="23">
        <v>1214</v>
      </c>
      <c r="E82" s="23">
        <v>1135</v>
      </c>
      <c r="F82" s="23">
        <v>1566</v>
      </c>
      <c r="G82" s="23">
        <v>6601</v>
      </c>
    </row>
    <row r="83" spans="1:7" x14ac:dyDescent="0.3">
      <c r="A83" s="30" t="s">
        <v>21</v>
      </c>
      <c r="B83" s="23">
        <v>1362</v>
      </c>
      <c r="C83" s="23">
        <v>1363</v>
      </c>
      <c r="D83" s="23">
        <v>1152</v>
      </c>
      <c r="E83" s="23">
        <v>777</v>
      </c>
      <c r="F83" s="23">
        <v>750</v>
      </c>
      <c r="G83" s="23">
        <v>5404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115" zoomScaleNormal="115" workbookViewId="0">
      <selection activeCell="C49" sqref="C49"/>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D8C53-0EBE-4C06-8073-A95BDEF88D0E}">
  <sheetPr>
    <tabColor theme="8"/>
  </sheetPr>
  <dimension ref="A18:AD40"/>
  <sheetViews>
    <sheetView tabSelected="1" zoomScale="70" zoomScaleNormal="70" workbookViewId="0">
      <selection activeCell="I2" sqref="I2"/>
    </sheetView>
  </sheetViews>
  <sheetFormatPr defaultRowHeight="14.4" x14ac:dyDescent="0.3"/>
  <cols>
    <col min="1" max="1" width="3.09765625" style="21" customWidth="1"/>
    <col min="2" max="2" width="3.69921875" style="21" customWidth="1"/>
    <col min="3" max="4" width="8.796875" style="21"/>
    <col min="5" max="5" width="7.5" style="21" customWidth="1"/>
    <col min="6" max="17" width="8.796875" style="21"/>
    <col min="18" max="18" width="4.796875" style="21" customWidth="1"/>
    <col min="19" max="19" width="7.09765625" style="21" customWidth="1"/>
    <col min="20" max="20" width="12.5" style="21" customWidth="1"/>
    <col min="21" max="23" width="10.19921875" style="21" bestFit="1" customWidth="1"/>
    <col min="24" max="24" width="12.69921875" style="21" customWidth="1"/>
    <col min="25" max="26" width="10.19921875" style="21" bestFit="1" customWidth="1"/>
    <col min="27" max="30" width="8.796875" style="21"/>
  </cols>
  <sheetData>
    <row r="18" spans="18:26" x14ac:dyDescent="0.3">
      <c r="R18" s="25"/>
    </row>
    <row r="22" spans="18:26" x14ac:dyDescent="0.3">
      <c r="T22" s="33"/>
      <c r="U22" s="34" t="s">
        <v>11</v>
      </c>
      <c r="V22" s="34" t="s">
        <v>9</v>
      </c>
      <c r="W22" s="34" t="s">
        <v>6</v>
      </c>
      <c r="X22" s="34" t="s">
        <v>13</v>
      </c>
      <c r="Y22" s="34" t="s">
        <v>10</v>
      </c>
      <c r="Z22" s="35" t="s">
        <v>1077</v>
      </c>
    </row>
    <row r="23" spans="18:26" x14ac:dyDescent="0.3">
      <c r="T23" s="36" t="str" cm="1">
        <f t="array" ref="T23:Z40">IF(Pivots!A66:G83 = "", "", Pivots!A66:G83)</f>
        <v>Cincinnati</v>
      </c>
      <c r="U23" s="31" t="str">
        <v/>
      </c>
      <c r="V23" s="31" t="str">
        <v/>
      </c>
      <c r="W23" s="31" t="str">
        <v/>
      </c>
      <c r="X23" s="31" t="str">
        <v/>
      </c>
      <c r="Y23" s="31" t="str">
        <v/>
      </c>
      <c r="Z23" s="37" t="str">
        <v/>
      </c>
    </row>
    <row r="24" spans="18:26" x14ac:dyDescent="0.3">
      <c r="T24" s="38" t="str">
        <v>C0003</v>
      </c>
      <c r="U24" s="32">
        <v>891</v>
      </c>
      <c r="V24" s="32">
        <v>1332</v>
      </c>
      <c r="W24" s="32">
        <v>1282</v>
      </c>
      <c r="X24" s="32">
        <v>739</v>
      </c>
      <c r="Y24" s="32">
        <v>560</v>
      </c>
      <c r="Z24" s="39">
        <v>4804</v>
      </c>
    </row>
    <row r="25" spans="18:26" x14ac:dyDescent="0.3">
      <c r="T25" s="38" t="str">
        <v>C0004</v>
      </c>
      <c r="U25" s="32">
        <v>1991</v>
      </c>
      <c r="V25" s="32">
        <v>1886</v>
      </c>
      <c r="W25" s="32">
        <v>1206</v>
      </c>
      <c r="X25" s="32">
        <v>884</v>
      </c>
      <c r="Y25" s="32">
        <v>1722</v>
      </c>
      <c r="Z25" s="39">
        <v>7689</v>
      </c>
    </row>
    <row r="26" spans="18:26" x14ac:dyDescent="0.3">
      <c r="T26" s="38" t="str">
        <v>C0011</v>
      </c>
      <c r="U26" s="32">
        <v>1163</v>
      </c>
      <c r="V26" s="32">
        <v>1180</v>
      </c>
      <c r="W26" s="32">
        <v>1616</v>
      </c>
      <c r="X26" s="32">
        <v>1043</v>
      </c>
      <c r="Y26" s="32">
        <v>1747</v>
      </c>
      <c r="Z26" s="39">
        <v>6749</v>
      </c>
    </row>
    <row r="27" spans="18:26" x14ac:dyDescent="0.3">
      <c r="T27" s="38" t="str">
        <v>C0012</v>
      </c>
      <c r="U27" s="32">
        <v>1438</v>
      </c>
      <c r="V27" s="32">
        <v>1616</v>
      </c>
      <c r="W27" s="32">
        <v>866</v>
      </c>
      <c r="X27" s="32">
        <v>829</v>
      </c>
      <c r="Y27" s="32">
        <v>2070</v>
      </c>
      <c r="Z27" s="39">
        <v>6819</v>
      </c>
    </row>
    <row r="28" spans="18:26" x14ac:dyDescent="0.3">
      <c r="T28" s="36" t="str">
        <v>Cleveland</v>
      </c>
      <c r="U28" s="32" t="str">
        <v/>
      </c>
      <c r="V28" s="32" t="str">
        <v/>
      </c>
      <c r="W28" s="32" t="str">
        <v/>
      </c>
      <c r="X28" s="32" t="str">
        <v/>
      </c>
      <c r="Y28" s="32" t="str">
        <v/>
      </c>
      <c r="Z28" s="39" t="str">
        <v/>
      </c>
    </row>
    <row r="29" spans="18:26" x14ac:dyDescent="0.3">
      <c r="T29" s="38" t="str">
        <v>C0002</v>
      </c>
      <c r="U29" s="32">
        <v>1233</v>
      </c>
      <c r="V29" s="32">
        <v>223</v>
      </c>
      <c r="W29" s="32">
        <v>1680</v>
      </c>
      <c r="X29" s="32">
        <v>990</v>
      </c>
      <c r="Y29" s="32">
        <v>1508</v>
      </c>
      <c r="Z29" s="39">
        <v>5634</v>
      </c>
    </row>
    <row r="30" spans="18:26" x14ac:dyDescent="0.3">
      <c r="T30" s="38" t="str">
        <v>C0007</v>
      </c>
      <c r="U30" s="32">
        <v>1598</v>
      </c>
      <c r="V30" s="32">
        <v>1907</v>
      </c>
      <c r="W30" s="32">
        <v>869</v>
      </c>
      <c r="X30" s="32">
        <v>1426</v>
      </c>
      <c r="Y30" s="32">
        <v>1416</v>
      </c>
      <c r="Z30" s="39">
        <v>7216</v>
      </c>
    </row>
    <row r="31" spans="18:26" x14ac:dyDescent="0.3">
      <c r="T31" s="38" t="str">
        <v>C0008</v>
      </c>
      <c r="U31" s="32">
        <v>900</v>
      </c>
      <c r="V31" s="32">
        <v>1016</v>
      </c>
      <c r="W31" s="32">
        <v>960</v>
      </c>
      <c r="X31" s="32">
        <v>940</v>
      </c>
      <c r="Y31" s="32">
        <v>1193</v>
      </c>
      <c r="Z31" s="39">
        <v>5009</v>
      </c>
    </row>
    <row r="32" spans="18:26" x14ac:dyDescent="0.3">
      <c r="T32" s="38" t="str">
        <v>C0010</v>
      </c>
      <c r="U32" s="32">
        <v>900</v>
      </c>
      <c r="V32" s="32">
        <v>1470</v>
      </c>
      <c r="W32" s="32">
        <v>1617</v>
      </c>
      <c r="X32" s="32">
        <v>1314</v>
      </c>
      <c r="Y32" s="32">
        <v>941</v>
      </c>
      <c r="Z32" s="39">
        <v>6242</v>
      </c>
    </row>
    <row r="33" spans="20:26" x14ac:dyDescent="0.3">
      <c r="T33" s="38" t="str">
        <v>C0013</v>
      </c>
      <c r="U33" s="32">
        <v>1255</v>
      </c>
      <c r="V33" s="32">
        <v>516</v>
      </c>
      <c r="W33" s="32">
        <v>1874</v>
      </c>
      <c r="X33" s="32">
        <v>1863</v>
      </c>
      <c r="Y33" s="32">
        <v>1722</v>
      </c>
      <c r="Z33" s="39">
        <v>7230</v>
      </c>
    </row>
    <row r="34" spans="20:26" x14ac:dyDescent="0.3">
      <c r="T34" s="38" t="str">
        <v>C0015</v>
      </c>
      <c r="U34" s="32">
        <v>1138</v>
      </c>
      <c r="V34" s="32">
        <v>1898</v>
      </c>
      <c r="W34" s="32">
        <v>1482</v>
      </c>
      <c r="X34" s="32">
        <v>846</v>
      </c>
      <c r="Y34" s="32">
        <v>1154</v>
      </c>
      <c r="Z34" s="39">
        <v>6518</v>
      </c>
    </row>
    <row r="35" spans="20:26" x14ac:dyDescent="0.3">
      <c r="T35" s="36" t="str">
        <v>Columbus</v>
      </c>
      <c r="U35" s="32" t="str">
        <v/>
      </c>
      <c r="V35" s="32" t="str">
        <v/>
      </c>
      <c r="W35" s="32" t="str">
        <v/>
      </c>
      <c r="X35" s="32" t="str">
        <v/>
      </c>
      <c r="Y35" s="32" t="str">
        <v/>
      </c>
      <c r="Z35" s="39" t="str">
        <v/>
      </c>
    </row>
    <row r="36" spans="20:26" x14ac:dyDescent="0.3">
      <c r="T36" s="38" t="str">
        <v>C0001</v>
      </c>
      <c r="U36" s="32">
        <v>1655</v>
      </c>
      <c r="V36" s="32">
        <v>805</v>
      </c>
      <c r="W36" s="32">
        <v>2263</v>
      </c>
      <c r="X36" s="32">
        <v>987</v>
      </c>
      <c r="Y36" s="32">
        <v>1075</v>
      </c>
      <c r="Z36" s="39">
        <v>6785</v>
      </c>
    </row>
    <row r="37" spans="20:26" x14ac:dyDescent="0.3">
      <c r="T37" s="38" t="str">
        <v>C0005</v>
      </c>
      <c r="U37" s="32">
        <v>1104</v>
      </c>
      <c r="V37" s="32">
        <v>2280</v>
      </c>
      <c r="W37" s="32">
        <v>1445</v>
      </c>
      <c r="X37" s="32">
        <v>1722</v>
      </c>
      <c r="Y37" s="32">
        <v>1196</v>
      </c>
      <c r="Z37" s="39">
        <v>7747</v>
      </c>
    </row>
    <row r="38" spans="20:26" x14ac:dyDescent="0.3">
      <c r="T38" s="38" t="str">
        <v>C0006</v>
      </c>
      <c r="U38" s="32">
        <v>372</v>
      </c>
      <c r="V38" s="32">
        <v>1818</v>
      </c>
      <c r="W38" s="32">
        <v>1346</v>
      </c>
      <c r="X38" s="32">
        <v>1156</v>
      </c>
      <c r="Y38" s="32">
        <v>1484</v>
      </c>
      <c r="Z38" s="39">
        <v>6176</v>
      </c>
    </row>
    <row r="39" spans="20:26" x14ac:dyDescent="0.3">
      <c r="T39" s="38" t="str">
        <v>C0009</v>
      </c>
      <c r="U39" s="32">
        <v>1415</v>
      </c>
      <c r="V39" s="32">
        <v>1271</v>
      </c>
      <c r="W39" s="32">
        <v>1214</v>
      </c>
      <c r="X39" s="32">
        <v>1135</v>
      </c>
      <c r="Y39" s="32">
        <v>1566</v>
      </c>
      <c r="Z39" s="39">
        <v>6601</v>
      </c>
    </row>
    <row r="40" spans="20:26" x14ac:dyDescent="0.3">
      <c r="T40" s="40" t="str">
        <v>C0014</v>
      </c>
      <c r="U40" s="41">
        <v>1362</v>
      </c>
      <c r="V40" s="41">
        <v>1363</v>
      </c>
      <c r="W40" s="41">
        <v>1152</v>
      </c>
      <c r="X40" s="41">
        <v>777</v>
      </c>
      <c r="Y40" s="41">
        <v>750</v>
      </c>
      <c r="Z40" s="42">
        <v>5404</v>
      </c>
    </row>
  </sheetData>
  <conditionalFormatting sqref="U24:Z40">
    <cfRule type="dataBar" priority="2">
      <dataBar>
        <cfvo type="num" val="0"/>
        <cfvo type="formula" val="MAX($U$24:$Z$40)*2"/>
        <color theme="1" tint="0.249977111117893"/>
      </dataBar>
      <extLst>
        <ext xmlns:x14="http://schemas.microsoft.com/office/spreadsheetml/2009/9/main" uri="{B025F937-C7B1-47D3-B67F-A62EFF666E3E}">
          <x14:id>{25D175A5-35B8-4F38-8807-7C53FD0CA9EA}</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2C1B614D-1BD3-4191-AB15-0E5E1949C56E}">
            <xm:f>U$22=Pivots!$A$45</xm:f>
            <x14:dxf>
              <fill>
                <patternFill>
                  <bgColor theme="8" tint="0.39994506668294322"/>
                </patternFill>
              </fill>
              <border>
                <right style="dashed">
                  <color auto="1"/>
                </right>
                <vertical/>
                <horizontal/>
              </border>
            </x14:dxf>
          </x14:cfRule>
          <xm:sqref>U22:Y40</xm:sqref>
        </x14:conditionalFormatting>
        <x14:conditionalFormatting xmlns:xm="http://schemas.microsoft.com/office/excel/2006/main">
          <x14:cfRule type="dataBar" id="{25D175A5-35B8-4F38-8807-7C53FD0CA9EA}">
            <x14:dataBar minLength="0" maxLength="100" border="1" gradient="0" negativeBarBorderColorSameAsPositive="0">
              <x14:cfvo type="num">
                <xm:f>0</xm:f>
              </x14:cfvo>
              <x14:cfvo type="formula">
                <xm:f>MAX($U$24:$Z$40)*2</xm:f>
              </x14:cfvo>
              <x14:borderColor rgb="FF638EC6"/>
              <x14:negativeFillColor rgb="FFFF0000"/>
              <x14:negativeBorderColor rgb="FFFF0000"/>
              <x14:axisColor rgb="FF000000"/>
            </x14:dataBar>
          </x14:cfRule>
          <xm:sqref>U24:Z40</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1:G7"/>
  <sheetViews>
    <sheetView zoomScale="115" zoomScaleNormal="115" workbookViewId="0">
      <selection sqref="A1:XFD1"/>
    </sheetView>
  </sheetViews>
  <sheetFormatPr defaultRowHeight="14.4" x14ac:dyDescent="0.3"/>
  <cols>
    <col min="5" max="5" width="6" bestFit="1" customWidth="1"/>
    <col min="6" max="6" width="8.296875" customWidth="1"/>
    <col min="7" max="7" width="15.59765625" style="20" customWidth="1"/>
  </cols>
  <sheetData>
    <row r="1" spans="5:7" ht="22.8" customHeight="1" x14ac:dyDescent="0.3">
      <c r="F1" s="20"/>
      <c r="G1"/>
    </row>
    <row r="2" spans="5:7" ht="22.8" customHeight="1" x14ac:dyDescent="0.3">
      <c r="E2" t="s">
        <v>1040</v>
      </c>
      <c r="F2" s="20" t="s">
        <v>1041</v>
      </c>
      <c r="G2"/>
    </row>
    <row r="3" spans="5:7" ht="22.8" customHeight="1" x14ac:dyDescent="0.3">
      <c r="E3" t="s">
        <v>11</v>
      </c>
      <c r="F3" s="20"/>
      <c r="G3"/>
    </row>
    <row r="4" spans="5:7" ht="22.8" customHeight="1" x14ac:dyDescent="0.3">
      <c r="E4" t="s">
        <v>9</v>
      </c>
      <c r="F4" s="20"/>
      <c r="G4"/>
    </row>
    <row r="5" spans="5:7" ht="22.8" customHeight="1" x14ac:dyDescent="0.3">
      <c r="E5" t="s">
        <v>6</v>
      </c>
      <c r="F5" s="20"/>
      <c r="G5"/>
    </row>
    <row r="6" spans="5:7" ht="22.8" customHeight="1" x14ac:dyDescent="0.3">
      <c r="E6" t="s">
        <v>13</v>
      </c>
      <c r="F6" s="20"/>
      <c r="G6"/>
    </row>
    <row r="7" spans="5:7" ht="22.8" customHeight="1" x14ac:dyDescent="0.3">
      <c r="E7" t="s">
        <v>10</v>
      </c>
      <c r="F7" s="20"/>
      <c r="G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Data</vt:lpstr>
      <vt:lpstr>summary</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Ishwarya Ravichandran</cp:lastModifiedBy>
  <dcterms:created xsi:type="dcterms:W3CDTF">2021-03-14T20:21:32Z</dcterms:created>
  <dcterms:modified xsi:type="dcterms:W3CDTF">2025-08-12T11:47:01Z</dcterms:modified>
</cp:coreProperties>
</file>